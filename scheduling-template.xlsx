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TÍNH TOÁN" sheetId="3" state="visible" r:id="rId3"/>
    <sheet xmlns:r="http://schemas.openxmlformats.org/officeDocument/2006/relationships" name="OUTPUT" sheetId="4" state="visible" r:id="rId4"/>
  </sheets>
  <definedNames>
    <definedName name="_xlnm._FilterDatabase" localSheetId="1" hidden="1">'INPUT'!$Q$4:$S$40</definedName>
    <definedName name="_xlnm.Print_Titles" localSheetId="1">'INPUT'!$1:$2</definedName>
    <definedName name="_xlnm._FilterDatabase" localSheetId="3" hidden="1">'OUTPUT'!$A$2:$F$2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i val="1"/>
      <color rgb="001F3D38"/>
      <sz val="12"/>
    </font>
    <font>
      <name val="Calibri"/>
      <b val="1"/>
      <color rgb="000A5E4D"/>
      <sz val="12"/>
    </font>
    <font>
      <name val="Calibri"/>
      <color rgb="001F3D38"/>
      <sz val="11"/>
    </font>
    <font>
      <name val="Calibri"/>
      <b val="1"/>
      <color rgb="001F3D38"/>
      <sz val="11"/>
    </font>
    <font>
      <name val="Calibri"/>
      <i val="1"/>
      <color rgb="001F3D38"/>
      <sz val="9"/>
    </font>
    <font>
      <name val="Calibri"/>
      <b val="1"/>
      <color rgb="00FFFFFF"/>
      <sz val="18"/>
    </font>
    <font>
      <name val="Calibri"/>
      <i val="1"/>
      <color rgb="001F3D38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3D38"/>
      <sz val="12"/>
    </font>
    <font>
      <name val="Calibri"/>
      <color rgb="006B7280"/>
      <sz val="11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0E7C66"/>
      </patternFill>
    </fill>
    <fill>
      <patternFill patternType="solid">
        <fgColor rgb="00B7E0D3"/>
      </patternFill>
    </fill>
    <fill>
      <patternFill patternType="solid">
        <fgColor rgb="00E6F4EF"/>
      </patternFill>
    </fill>
    <fill>
      <patternFill patternType="solid">
        <fgColor rgb="00F4FBF9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0A5E4D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9FBDB3"/>
      </left>
      <right style="thin">
        <color rgb="009FBDB3"/>
      </right>
      <top style="thin">
        <color rgb="009FBDB3"/>
      </top>
      <bottom style="thin">
        <color rgb="009FBDB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5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165" fontId="12" fillId="0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1F3D38"/>
      </font>
      <fill>
        <patternFill patternType="solid">
          <fgColor rgb="00D4EDDA"/>
        </patternFill>
      </fill>
    </dxf>
    <dxf>
      <font>
        <b val="1"/>
        <color rgb="009C2A2A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MedMate</author>
  </authors>
  <commentList>
    <comment ref="A1" authorId="0" shapeId="0">
      <text>
        <t>Khu vực tự động: công thức tham chiếu INPUT! Không nhập tay.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143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</cols>
  <sheetData>
    <row r="1" ht="44" customHeight="1">
      <c r="A1" s="1" t="inlineStr">
        <is>
          <t>MEDMATE — XẾP LỊCH PHẪU THUẬT TỰ ĐỘNG</t>
        </is>
      </c>
    </row>
    <row r="2" ht="22" customHeight="1">
      <c r="A2" s="2" t="inlineStr">
        <is>
          <t>Hướng dẫn sử dụng template xếp lịch phẫu thuật (4 sheet)</t>
        </is>
      </c>
    </row>
    <row r="3" ht="8" customHeight="1"/>
    <row r="4" ht="22" customHeight="1">
      <c r="B4" s="3" t="inlineStr">
        <is>
          <t>Bước 1: Điền lịch &amp; danh sách bác sĩ</t>
        </is>
      </c>
      <c r="C4" s="4" t="n"/>
      <c r="D4" s="4" t="n"/>
      <c r="E4" s="4" t="n"/>
      <c r="F4" s="4" t="n"/>
    </row>
    <row r="5" ht="22" customHeight="1">
      <c r="B5" s="5" t="inlineStr">
        <is>
          <t>Mở sheet `INPUT`. Các mục 1–5 nằm cạnh nhau theo hàng ngang: 1=Lịch phòng khám, 2=Lịch họp, 3=Lịch trực cấp cứu, 4=Danh sách bác sĩ, 5=Danh sách bệnh nhân.</t>
        </is>
      </c>
      <c r="C5" s="4" t="n"/>
      <c r="D5" s="4" t="n"/>
      <c r="E5" s="4" t="n"/>
      <c r="F5" s="4" t="n"/>
    </row>
    <row r="6" ht="22" customHeight="1">
      <c r="B6" s="4" t="n"/>
      <c r="C6" s="4" t="n"/>
      <c r="D6" s="4" t="n"/>
      <c r="E6" s="4" t="n"/>
      <c r="F6" s="4" t="n"/>
    </row>
    <row r="7" ht="22" customHeight="1">
      <c r="B7" s="6" t="inlineStr">
        <is>
          <t>Bước 2: Kiểm tra sheet TÍNH TOÁN</t>
        </is>
      </c>
      <c r="C7" s="7" t="n"/>
      <c r="D7" s="7" t="n"/>
      <c r="E7" s="7" t="n"/>
      <c r="F7" s="7" t="n"/>
    </row>
    <row r="8" ht="22" customHeight="1">
      <c r="B8" s="8" t="inlineStr">
        <is>
          <t>Các công thức tự động kiểm tra xung đột lịch, đề xuất bác sĩ + ngày mổ. Không sửa tay trong sheet này.</t>
        </is>
      </c>
      <c r="C8" s="7" t="n"/>
      <c r="D8" s="7" t="n"/>
      <c r="E8" s="7" t="n"/>
      <c r="F8" s="7" t="n"/>
    </row>
    <row r="9" ht="22" customHeight="1">
      <c r="B9" s="7" t="n"/>
      <c r="C9" s="7" t="n"/>
      <c r="D9" s="7" t="n"/>
      <c r="E9" s="7" t="n"/>
      <c r="F9" s="7" t="n"/>
    </row>
    <row r="10" ht="22" customHeight="1">
      <c r="B10" s="3" t="inlineStr">
        <is>
          <t>Bước 3: Yêu cầu Codex chạy xếp lịch</t>
        </is>
      </c>
      <c r="C10" s="4" t="n"/>
      <c r="D10" s="4" t="n"/>
      <c r="E10" s="4" t="n"/>
      <c r="F10" s="4" t="n"/>
    </row>
    <row r="11" ht="22" customHeight="1">
      <c r="B11" s="5" t="inlineStr">
        <is>
          <t>Trong Codex Desktop, gõ: "Chạy xếp lịch tuần này". Codex sẽ mở workbook, đọc lại OUTPUT và báo cáo kết quả.</t>
        </is>
      </c>
      <c r="C11" s="4" t="n"/>
      <c r="D11" s="4" t="n"/>
      <c r="E11" s="4" t="n"/>
      <c r="F11" s="4" t="n"/>
    </row>
    <row r="12" ht="22" customHeight="1">
      <c r="B12" s="4" t="n"/>
      <c r="C12" s="4" t="n"/>
      <c r="D12" s="4" t="n"/>
      <c r="E12" s="4" t="n"/>
      <c r="F12" s="4" t="n"/>
    </row>
    <row r="13" ht="22" customHeight="1">
      <c r="B13" s="6" t="inlineStr">
        <is>
          <t>Bước 4: Xem sheet OUTPUT</t>
        </is>
      </c>
      <c r="C13" s="7" t="n"/>
      <c r="D13" s="7" t="n"/>
      <c r="E13" s="7" t="n"/>
      <c r="F13" s="7" t="n"/>
    </row>
    <row r="14" ht="22" customHeight="1">
      <c r="B14" s="8" t="inlineStr">
        <is>
          <t>Sheet `OUTPUT` liệt kê các ca "Đủ điều kiện" đã được xếp; các ca "Loại" cần điều chỉnh INPUT.</t>
        </is>
      </c>
      <c r="C14" s="7" t="n"/>
      <c r="D14" s="7" t="n"/>
      <c r="E14" s="7" t="n"/>
      <c r="F14" s="7" t="n"/>
    </row>
    <row r="15" ht="22" customHeight="1">
      <c r="B15" s="7" t="n"/>
      <c r="C15" s="7" t="n"/>
      <c r="D15" s="7" t="n"/>
      <c r="E15" s="7" t="n"/>
      <c r="F15" s="7" t="n"/>
    </row>
    <row r="18" ht="10" customHeight="1"/>
    <row r="19">
      <c r="B19" s="9" t="inlineStr">
        <is>
          <t>Chú thích trạng thái</t>
        </is>
      </c>
    </row>
    <row r="20" ht="20" customHeight="1">
      <c r="B20" s="10" t="inlineStr">
        <is>
          <t>Đủ điều kiện</t>
        </is>
      </c>
      <c r="C20" s="11" t="inlineStr">
        <is>
          <t>Ca mổ đã được xếp đủ điều kiện và sẽ xuất sang OUTPUT.</t>
        </is>
      </c>
    </row>
    <row r="21" ht="20" customHeight="1">
      <c r="B21" s="12" t="inlineStr">
        <is>
          <t>Loại</t>
        </is>
      </c>
      <c r="C21" s="11" t="inlineStr">
        <is>
          <t>Ca mổ bị loại do trùng phòng khám, họp, trực hoặc sai loại PT.</t>
        </is>
      </c>
    </row>
    <row r="22" ht="20" customHeight="1">
      <c r="B22" s="13" t="inlineStr">
        <is>
          <t>Ca/ngày tối đa</t>
        </is>
      </c>
      <c r="C22" s="11" t="inlineStr">
        <is>
          <t>Mức trần 11 ca mỗi ngày, áp dụng tự động trong công thức.</t>
        </is>
      </c>
    </row>
    <row r="24" ht="8" customHeight="1"/>
    <row r="25">
      <c r="A25" s="14" t="inlineStr">
        <is>
          <t>Phiên bản template: 2026.05.16 — Chỉ dùng cho mục đích xếp lịch phẫu thuật trong nội bộ.</t>
        </is>
      </c>
    </row>
  </sheetData>
  <mergeCells count="15">
    <mergeCell ref="B4:F4"/>
    <mergeCell ref="A2:F2"/>
    <mergeCell ref="C22:F22"/>
    <mergeCell ref="B7:F7"/>
    <mergeCell ref="B8:F9"/>
    <mergeCell ref="B10:F10"/>
    <mergeCell ref="A1:F1"/>
    <mergeCell ref="C20:F20"/>
    <mergeCell ref="B11:F12"/>
    <mergeCell ref="B19:F19"/>
    <mergeCell ref="C21:F21"/>
    <mergeCell ref="B5:F6"/>
    <mergeCell ref="B14:F15"/>
    <mergeCell ref="B13:F13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" customWidth="1" min="4" max="4"/>
    <col width="14" customWidth="1" min="5" max="5"/>
    <col width="10" customWidth="1" min="6" max="6"/>
    <col width="20" customWidth="1" min="7" max="7"/>
    <col width="2" customWidth="1" min="8" max="8"/>
    <col width="14" customWidth="1" min="9" max="9"/>
    <col width="10" customWidth="1" min="10" max="10"/>
    <col width="12" customWidth="1" min="11" max="11"/>
    <col width="2" customWidth="1" min="12" max="12"/>
    <col width="12" customWidth="1" min="13" max="13"/>
    <col width="20" customWidth="1" min="14" max="14"/>
    <col width="16" customWidth="1" min="15" max="15"/>
    <col width="2" customWidth="1" min="16" max="16"/>
    <col width="12" customWidth="1" min="17" max="17"/>
    <col width="22" customWidth="1" min="18" max="18"/>
    <col width="14" customWidth="1" min="19" max="19"/>
  </cols>
  <sheetData>
    <row r="1" ht="32" customHeight="1">
      <c r="A1" s="15" t="inlineStr">
        <is>
          <t>MEDMATE — DỮ LIỆU ĐẦU VÀO</t>
        </is>
      </c>
    </row>
    <row r="2" ht="22" customHeight="1">
      <c r="A2" s="16" t="inlineStr">
        <is>
          <t>Nhập dữ liệu lịch phòng khám, họp, trực, bác sĩ và bệnh nhân</t>
        </is>
      </c>
    </row>
    <row r="3" ht="22" customHeight="1">
      <c r="A3" s="17" t="inlineStr">
        <is>
          <t>1 — Lịch phòng khám</t>
        </is>
      </c>
      <c r="E3" s="17" t="inlineStr">
        <is>
          <t>2 — Lịch họp</t>
        </is>
      </c>
      <c r="I3" s="17" t="inlineStr">
        <is>
          <t>3 — Lịch trực cấp cứu</t>
        </is>
      </c>
      <c r="M3" s="17" t="inlineStr">
        <is>
          <t>4 — Danh sách bác sĩ</t>
        </is>
      </c>
      <c r="Q3" s="17" t="inlineStr">
        <is>
          <t>5 — Danh sách bệnh nhân / ca cần xếp</t>
        </is>
      </c>
    </row>
    <row r="4" ht="22" customHeight="1">
      <c r="A4" s="18" t="inlineStr">
        <is>
          <t>Ngày</t>
        </is>
      </c>
      <c r="B4" s="18" t="inlineStr">
        <is>
          <t>Thứ</t>
        </is>
      </c>
      <c r="C4" s="18" t="inlineStr">
        <is>
          <t>Mã BS</t>
        </is>
      </c>
      <c r="E4" s="18" t="inlineStr">
        <is>
          <t>Ngày</t>
        </is>
      </c>
      <c r="F4" s="18" t="inlineStr">
        <is>
          <t>Thứ</t>
        </is>
      </c>
      <c r="G4" s="18" t="inlineStr">
        <is>
          <t>Nội dung</t>
        </is>
      </c>
      <c r="I4" s="18" t="inlineStr">
        <is>
          <t>Ngày</t>
        </is>
      </c>
      <c r="J4" s="18" t="inlineStr">
        <is>
          <t>Thứ</t>
        </is>
      </c>
      <c r="K4" s="18" t="inlineStr">
        <is>
          <t>Mã BS</t>
        </is>
      </c>
      <c r="M4" s="18" t="inlineStr">
        <is>
          <t>Mã BS</t>
        </is>
      </c>
      <c r="N4" s="18" t="inlineStr">
        <is>
          <t>Tên bác sĩ</t>
        </is>
      </c>
      <c r="O4" s="18" t="inlineStr">
        <is>
          <t>Loại PT phụ trách</t>
        </is>
      </c>
      <c r="Q4" s="18" t="inlineStr">
        <is>
          <t>Mã BN</t>
        </is>
      </c>
      <c r="R4" s="18" t="inlineStr">
        <is>
          <t>Tên bệnh nhân</t>
        </is>
      </c>
      <c r="S4" s="18" t="inlineStr">
        <is>
          <t>Loại PT</t>
        </is>
      </c>
    </row>
    <row r="5" ht="18" customHeight="1">
      <c r="A5" s="19" t="n">
        <v>46157</v>
      </c>
      <c r="B5" s="20">
        <f>TEXT(A5,"[$-vi-VN]ddd")</f>
        <v/>
      </c>
      <c r="C5" s="20" t="inlineStr">
        <is>
          <t>BS04</t>
        </is>
      </c>
      <c r="E5" s="19" t="n">
        <v>46157</v>
      </c>
      <c r="F5" s="20">
        <f>TEXT(E5,"[$-vi-VN]ddd")</f>
        <v/>
      </c>
      <c r="G5" s="21" t="inlineStr">
        <is>
          <t>Đào tạo nội bộ</t>
        </is>
      </c>
      <c r="I5" s="19" t="n">
        <v>46157</v>
      </c>
      <c r="J5" s="20">
        <f>TEXT(I5,"[$-vi-VN]ddd")</f>
        <v/>
      </c>
      <c r="K5" s="20" t="inlineStr">
        <is>
          <t>BS06</t>
        </is>
      </c>
      <c r="M5" s="20" t="inlineStr">
        <is>
          <t>BS04</t>
        </is>
      </c>
      <c r="N5" s="21" t="inlineStr">
        <is>
          <t>BS Nguyễn Minh An</t>
        </is>
      </c>
      <c r="O5" s="20" t="inlineStr">
        <is>
          <t>Ghép gan</t>
        </is>
      </c>
      <c r="Q5" s="20" t="inlineStr">
        <is>
          <t>BN001</t>
        </is>
      </c>
      <c r="R5" s="21" t="inlineStr">
        <is>
          <t>Nguyễn Văn A</t>
        </is>
      </c>
      <c r="S5" s="20" t="inlineStr">
        <is>
          <t>Ghép gan</t>
        </is>
      </c>
    </row>
    <row r="6" ht="18" customHeight="1">
      <c r="A6" s="22" t="n">
        <v>46157</v>
      </c>
      <c r="B6" s="23">
        <f>TEXT(A6,"[$-vi-VN]ddd")</f>
        <v/>
      </c>
      <c r="C6" s="23" t="inlineStr">
        <is>
          <t>BS05</t>
        </is>
      </c>
      <c r="E6" s="22" t="n">
        <v>46158</v>
      </c>
      <c r="F6" s="23">
        <f>TEXT(E6,"[$-vi-VN]ddd")</f>
        <v/>
      </c>
      <c r="G6" s="24" t="inlineStr">
        <is>
          <t>Hội thảo chuyên môn</t>
        </is>
      </c>
      <c r="I6" s="22" t="n">
        <v>46157</v>
      </c>
      <c r="J6" s="23">
        <f>TEXT(I6,"[$-vi-VN]ddd")</f>
        <v/>
      </c>
      <c r="K6" s="23" t="inlineStr">
        <is>
          <t>BS02</t>
        </is>
      </c>
      <c r="M6" s="23" t="inlineStr">
        <is>
          <t>BS02</t>
        </is>
      </c>
      <c r="N6" s="24" t="inlineStr">
        <is>
          <t>BS Hoàng Hải Nam</t>
        </is>
      </c>
      <c r="O6" s="23" t="inlineStr">
        <is>
          <t>Ghép gan</t>
        </is>
      </c>
      <c r="Q6" s="23" t="inlineStr">
        <is>
          <t>BN002</t>
        </is>
      </c>
      <c r="R6" s="24" t="inlineStr">
        <is>
          <t>Trần Thị B</t>
        </is>
      </c>
      <c r="S6" s="23" t="inlineStr">
        <is>
          <t>Ghép gan</t>
        </is>
      </c>
    </row>
    <row r="7" ht="18" customHeight="1">
      <c r="A7" s="19" t="n">
        <v>46158</v>
      </c>
      <c r="B7" s="20">
        <f>TEXT(A7,"[$-vi-VN]ddd")</f>
        <v/>
      </c>
      <c r="C7" s="20" t="inlineStr">
        <is>
          <t>BS08</t>
        </is>
      </c>
      <c r="E7" s="19" t="n">
        <v>46159</v>
      </c>
      <c r="F7" s="20">
        <f>TEXT(E7,"[$-vi-VN]ddd")</f>
        <v/>
      </c>
      <c r="G7" s="21" t="inlineStr">
        <is>
          <t>Tổng kết tuần</t>
        </is>
      </c>
      <c r="I7" s="19" t="n">
        <v>46158</v>
      </c>
      <c r="J7" s="20">
        <f>TEXT(I7,"[$-vi-VN]ddd")</f>
        <v/>
      </c>
      <c r="K7" s="20" t="inlineStr">
        <is>
          <t>BS04</t>
        </is>
      </c>
      <c r="M7" s="20" t="inlineStr">
        <is>
          <t>BS05</t>
        </is>
      </c>
      <c r="N7" s="21" t="inlineStr">
        <is>
          <t>BS Trần Quốc Bình</t>
        </is>
      </c>
      <c r="O7" s="20" t="inlineStr">
        <is>
          <t>Cắt gan</t>
        </is>
      </c>
      <c r="Q7" s="20" t="inlineStr">
        <is>
          <t>BN003</t>
        </is>
      </c>
      <c r="R7" s="21" t="inlineStr">
        <is>
          <t>Lê Văn C</t>
        </is>
      </c>
      <c r="S7" s="20" t="inlineStr">
        <is>
          <t>Cắt gan</t>
        </is>
      </c>
    </row>
    <row r="8" ht="18" customHeight="1">
      <c r="A8" s="22" t="n">
        <v>46158</v>
      </c>
      <c r="B8" s="23">
        <f>TEXT(A8,"[$-vi-VN]ddd")</f>
        <v/>
      </c>
      <c r="C8" s="23" t="inlineStr">
        <is>
          <t>BS06</t>
        </is>
      </c>
      <c r="E8" s="22" t="n">
        <v>46157</v>
      </c>
      <c r="F8" s="23">
        <f>TEXT(E8,"[$-vi-VN]ddd")</f>
        <v/>
      </c>
      <c r="G8" s="24" t="inlineStr">
        <is>
          <t>Họp hội đồng ghép gan</t>
        </is>
      </c>
      <c r="I8" s="22" t="n">
        <v>46158</v>
      </c>
      <c r="J8" s="23">
        <f>TEXT(I8,"[$-vi-VN]ddd")</f>
        <v/>
      </c>
      <c r="K8" s="23" t="inlineStr">
        <is>
          <t>BS05</t>
        </is>
      </c>
      <c r="M8" s="23" t="inlineStr">
        <is>
          <t>BS09</t>
        </is>
      </c>
      <c r="N8" s="24" t="inlineStr">
        <is>
          <t>BS Đỗ Thanh Sơn</t>
        </is>
      </c>
      <c r="O8" s="23" t="inlineStr">
        <is>
          <t>Cắt gan</t>
        </is>
      </c>
      <c r="Q8" s="23" t="inlineStr">
        <is>
          <t>BN004</t>
        </is>
      </c>
      <c r="R8" s="24" t="inlineStr">
        <is>
          <t>Phạm Thị D</t>
        </is>
      </c>
      <c r="S8" s="23" t="inlineStr">
        <is>
          <t>Tái thùy</t>
        </is>
      </c>
    </row>
    <row r="9" ht="18" customHeight="1">
      <c r="A9" s="19" t="n">
        <v>46158</v>
      </c>
      <c r="B9" s="20">
        <f>TEXT(A9,"[$-vi-VN]ddd")</f>
        <v/>
      </c>
      <c r="C9" s="20" t="inlineStr">
        <is>
          <t>BS02</t>
        </is>
      </c>
      <c r="E9" s="19" t="n">
        <v>46158</v>
      </c>
      <c r="F9" s="20">
        <f>TEXT(E9,"[$-vi-VN]ddd")</f>
        <v/>
      </c>
      <c r="G9" s="21" t="inlineStr">
        <is>
          <t>Rà soát lịch tuần sau</t>
        </is>
      </c>
      <c r="I9" s="19" t="n">
        <v>46158</v>
      </c>
      <c r="J9" s="20">
        <f>TEXT(I9,"[$-vi-VN]ddd")</f>
        <v/>
      </c>
      <c r="K9" s="20" t="inlineStr">
        <is>
          <t>BS08</t>
        </is>
      </c>
      <c r="M9" s="20" t="inlineStr">
        <is>
          <t>BS08</t>
        </is>
      </c>
      <c r="N9" s="21" t="inlineStr">
        <is>
          <t>BS Lê Thu Cúc</t>
        </is>
      </c>
      <c r="O9" s="20" t="inlineStr">
        <is>
          <t>Tái thùy</t>
        </is>
      </c>
      <c r="Q9" s="20" t="inlineStr">
        <is>
          <t>BN005</t>
        </is>
      </c>
      <c r="R9" s="21" t="inlineStr">
        <is>
          <t>Hoàng Văn E</t>
        </is>
      </c>
      <c r="S9" s="20" t="inlineStr">
        <is>
          <t>Ghép gan</t>
        </is>
      </c>
    </row>
    <row r="10" ht="18" customHeight="1">
      <c r="A10" s="22" t="n">
        <v>46159</v>
      </c>
      <c r="B10" s="23">
        <f>TEXT(A10,"[$-vi-VN]ddd")</f>
        <v/>
      </c>
      <c r="C10" s="23" t="inlineStr">
        <is>
          <t>BS09</t>
        </is>
      </c>
      <c r="E10" s="22" t="n">
        <v>46159</v>
      </c>
      <c r="F10" s="23">
        <f>TEXT(E10,"[$-vi-VN]ddd")</f>
        <v/>
      </c>
      <c r="G10" s="24" t="inlineStr">
        <is>
          <t>Họp giao ban trực</t>
        </is>
      </c>
      <c r="I10" s="22" t="n">
        <v>46159</v>
      </c>
      <c r="J10" s="23">
        <f>TEXT(I10,"[$-vi-VN]ddd")</f>
        <v/>
      </c>
      <c r="K10" s="23" t="inlineStr">
        <is>
          <t>BS09</t>
        </is>
      </c>
      <c r="M10" s="23" t="inlineStr">
        <is>
          <t>BS06</t>
        </is>
      </c>
      <c r="N10" s="24" t="inlineStr">
        <is>
          <t>BS Phạm Đức Dũng</t>
        </is>
      </c>
      <c r="O10" s="23" t="inlineStr">
        <is>
          <t>Cắt gan S</t>
        </is>
      </c>
      <c r="Q10" s="23" t="inlineStr">
        <is>
          <t>BN006</t>
        </is>
      </c>
      <c r="R10" s="24" t="inlineStr">
        <is>
          <t>Đỗ Thị F</t>
        </is>
      </c>
      <c r="S10" s="23" t="inlineStr">
        <is>
          <t>Cắt gan S</t>
        </is>
      </c>
    </row>
    <row r="11" ht="18" customHeight="1">
      <c r="A11" s="20" t="n"/>
      <c r="B11" s="20" t="n"/>
      <c r="C11" s="20" t="n"/>
      <c r="E11" s="19" t="n">
        <v>46162</v>
      </c>
      <c r="F11" s="20">
        <f>TEXT(E11,"[$-vi-VN]ddd")</f>
        <v/>
      </c>
      <c r="G11" s="21" t="inlineStr">
        <is>
          <t>Giao ban tối</t>
        </is>
      </c>
      <c r="I11" s="20" t="n"/>
      <c r="J11" s="20" t="n"/>
      <c r="K11" s="20" t="n"/>
      <c r="M11" s="20" t="n"/>
      <c r="N11" s="21" t="n"/>
      <c r="O11" s="20" t="n"/>
      <c r="Q11" s="20" t="inlineStr">
        <is>
          <t>BN007</t>
        </is>
      </c>
      <c r="R11" s="21" t="inlineStr">
        <is>
          <t>Bùi Văn G</t>
        </is>
      </c>
      <c r="S11" s="20" t="inlineStr">
        <is>
          <t>Ghép gan</t>
        </is>
      </c>
    </row>
    <row r="12" ht="18" customHeight="1">
      <c r="A12" s="23" t="n"/>
      <c r="B12" s="23" t="n"/>
      <c r="C12" s="23" t="n"/>
      <c r="E12" s="23" t="n"/>
      <c r="F12" s="23" t="n"/>
      <c r="G12" s="24" t="n"/>
      <c r="I12" s="23" t="n"/>
      <c r="J12" s="23" t="n"/>
      <c r="K12" s="23" t="n"/>
      <c r="M12" s="23" t="n"/>
      <c r="N12" s="24" t="n"/>
      <c r="O12" s="23" t="n"/>
      <c r="Q12" s="23" t="inlineStr">
        <is>
          <t>BN008</t>
        </is>
      </c>
      <c r="R12" s="24" t="inlineStr">
        <is>
          <t>Vũ Thị H</t>
        </is>
      </c>
      <c r="S12" s="23" t="inlineStr">
        <is>
          <t>Cắt gan</t>
        </is>
      </c>
    </row>
    <row r="13" ht="18" customHeight="1">
      <c r="A13" s="20" t="n"/>
      <c r="B13" s="20" t="n"/>
      <c r="C13" s="20" t="n"/>
      <c r="E13" s="20" t="n"/>
      <c r="F13" s="20" t="n"/>
      <c r="G13" s="21" t="n"/>
      <c r="I13" s="20" t="n"/>
      <c r="J13" s="20" t="n"/>
      <c r="K13" s="20" t="n"/>
      <c r="M13" s="20" t="n"/>
      <c r="N13" s="21" t="n"/>
      <c r="O13" s="20" t="n"/>
      <c r="Q13" s="20" t="inlineStr">
        <is>
          <t>BN009</t>
        </is>
      </c>
      <c r="R13" s="21" t="inlineStr">
        <is>
          <t>Đặng Văn I</t>
        </is>
      </c>
      <c r="S13" s="20" t="inlineStr">
        <is>
          <t>Tái thùy</t>
        </is>
      </c>
    </row>
    <row r="14" ht="18" customHeight="1">
      <c r="A14" s="23" t="n"/>
      <c r="B14" s="23" t="n"/>
      <c r="C14" s="23" t="n"/>
      <c r="E14" s="23" t="n"/>
      <c r="F14" s="23" t="n"/>
      <c r="G14" s="24" t="n"/>
      <c r="I14" s="23" t="n"/>
      <c r="J14" s="23" t="n"/>
      <c r="K14" s="23" t="n"/>
      <c r="M14" s="23" t="n"/>
      <c r="N14" s="24" t="n"/>
      <c r="O14" s="23" t="n"/>
      <c r="Q14" s="23" t="inlineStr">
        <is>
          <t>BN010</t>
        </is>
      </c>
      <c r="R14" s="24" t="inlineStr">
        <is>
          <t>Ngô Thị K</t>
        </is>
      </c>
      <c r="S14" s="23" t="inlineStr">
        <is>
          <t>Ghép gan</t>
        </is>
      </c>
    </row>
    <row r="15" ht="18" customHeight="1">
      <c r="A15" s="20" t="n"/>
      <c r="B15" s="20" t="n"/>
      <c r="C15" s="20" t="n"/>
      <c r="E15" s="20" t="n"/>
      <c r="F15" s="20" t="n"/>
      <c r="G15" s="21" t="n"/>
      <c r="I15" s="20" t="n"/>
      <c r="J15" s="20" t="n"/>
      <c r="K15" s="20" t="n"/>
      <c r="M15" s="20" t="n"/>
      <c r="N15" s="21" t="n"/>
      <c r="O15" s="20" t="n"/>
      <c r="Q15" s="20" t="inlineStr">
        <is>
          <t>BN011</t>
        </is>
      </c>
      <c r="R15" s="21" t="inlineStr">
        <is>
          <t>Mai Văn L</t>
        </is>
      </c>
      <c r="S15" s="20" t="inlineStr">
        <is>
          <t>Ghép gan</t>
        </is>
      </c>
    </row>
    <row r="16" ht="18" customHeight="1">
      <c r="A16" s="23" t="n"/>
      <c r="B16" s="23" t="n"/>
      <c r="C16" s="23" t="n"/>
      <c r="E16" s="23" t="n"/>
      <c r="F16" s="23" t="n"/>
      <c r="G16" s="24" t="n"/>
      <c r="I16" s="23" t="n"/>
      <c r="J16" s="23" t="n"/>
      <c r="K16" s="23" t="n"/>
      <c r="M16" s="23" t="n"/>
      <c r="N16" s="24" t="n"/>
      <c r="O16" s="23" t="n"/>
      <c r="Q16" s="23" t="inlineStr">
        <is>
          <t>BN012</t>
        </is>
      </c>
      <c r="R16" s="24" t="inlineStr">
        <is>
          <t>Phan Thị M</t>
        </is>
      </c>
      <c r="S16" s="23" t="inlineStr">
        <is>
          <t>Cắt gan</t>
        </is>
      </c>
    </row>
    <row r="17" ht="18" customHeight="1">
      <c r="A17" s="20" t="n"/>
      <c r="B17" s="20" t="n"/>
      <c r="C17" s="20" t="n"/>
      <c r="E17" s="20" t="n"/>
      <c r="F17" s="20" t="n"/>
      <c r="G17" s="21" t="n"/>
      <c r="I17" s="20" t="n"/>
      <c r="J17" s="20" t="n"/>
      <c r="K17" s="20" t="n"/>
      <c r="M17" s="20" t="n"/>
      <c r="N17" s="21" t="n"/>
      <c r="O17" s="20" t="n"/>
      <c r="Q17" s="20" t="inlineStr">
        <is>
          <t>BN013</t>
        </is>
      </c>
      <c r="R17" s="21" t="inlineStr">
        <is>
          <t>Nguyễn Minh N</t>
        </is>
      </c>
      <c r="S17" s="20" t="inlineStr">
        <is>
          <t>Tái thùy</t>
        </is>
      </c>
    </row>
    <row r="18" ht="18" customHeight="1">
      <c r="A18" s="23" t="n"/>
      <c r="B18" s="23" t="n"/>
      <c r="C18" s="23" t="n"/>
      <c r="E18" s="23" t="n"/>
      <c r="F18" s="23" t="n"/>
      <c r="G18" s="24" t="n"/>
      <c r="I18" s="23" t="n"/>
      <c r="J18" s="23" t="n"/>
      <c r="K18" s="23" t="n"/>
      <c r="M18" s="23" t="n"/>
      <c r="N18" s="24" t="n"/>
      <c r="O18" s="23" t="n"/>
      <c r="Q18" s="23" t="inlineStr">
        <is>
          <t>BN014</t>
        </is>
      </c>
      <c r="R18" s="24" t="inlineStr">
        <is>
          <t>Trần Hải O</t>
        </is>
      </c>
      <c r="S18" s="23" t="inlineStr">
        <is>
          <t>Ghép gan</t>
        </is>
      </c>
    </row>
    <row r="19" ht="18" customHeight="1">
      <c r="A19" s="20" t="n"/>
      <c r="B19" s="20" t="n"/>
      <c r="C19" s="20" t="n"/>
      <c r="E19" s="20" t="n"/>
      <c r="F19" s="20" t="n"/>
      <c r="G19" s="21" t="n"/>
      <c r="I19" s="20" t="n"/>
      <c r="J19" s="20" t="n"/>
      <c r="K19" s="20" t="n"/>
      <c r="M19" s="20" t="n"/>
      <c r="N19" s="21" t="n"/>
      <c r="O19" s="20" t="n"/>
      <c r="Q19" s="20" t="inlineStr">
        <is>
          <t>BN015</t>
        </is>
      </c>
      <c r="R19" s="21" t="inlineStr">
        <is>
          <t>Lê Thanh P</t>
        </is>
      </c>
      <c r="S19" s="20" t="inlineStr">
        <is>
          <t>Cắt gan</t>
        </is>
      </c>
    </row>
    <row r="20" ht="18" customHeight="1">
      <c r="A20" s="23" t="n"/>
      <c r="B20" s="23" t="n"/>
      <c r="C20" s="23" t="n"/>
      <c r="E20" s="23" t="n"/>
      <c r="F20" s="23" t="n"/>
      <c r="G20" s="24" t="n"/>
      <c r="I20" s="23" t="n"/>
      <c r="J20" s="23" t="n"/>
      <c r="K20" s="23" t="n"/>
      <c r="M20" s="23" t="n"/>
      <c r="N20" s="24" t="n"/>
      <c r="O20" s="23" t="n"/>
      <c r="Q20" s="23" t="inlineStr">
        <is>
          <t>BN016</t>
        </is>
      </c>
      <c r="R20" s="24" t="inlineStr">
        <is>
          <t>Phạm Quốc Q</t>
        </is>
      </c>
      <c r="S20" s="23" t="inlineStr">
        <is>
          <t>Ghép gan</t>
        </is>
      </c>
    </row>
    <row r="21" ht="18" customHeight="1">
      <c r="A21" s="20" t="n"/>
      <c r="B21" s="20" t="n"/>
      <c r="C21" s="20" t="n"/>
      <c r="E21" s="20" t="n"/>
      <c r="F21" s="20" t="n"/>
      <c r="G21" s="21" t="n"/>
      <c r="I21" s="20" t="n"/>
      <c r="J21" s="20" t="n"/>
      <c r="K21" s="20" t="n"/>
      <c r="M21" s="20" t="n"/>
      <c r="N21" s="21" t="n"/>
      <c r="O21" s="20" t="n"/>
      <c r="Q21" s="20" t="inlineStr">
        <is>
          <t>BN017</t>
        </is>
      </c>
      <c r="R21" s="21" t="inlineStr">
        <is>
          <t>Hoàng Lan R</t>
        </is>
      </c>
      <c r="S21" s="20" t="inlineStr">
        <is>
          <t>Tái thùy</t>
        </is>
      </c>
    </row>
    <row r="22" ht="18" customHeight="1">
      <c r="A22" s="23" t="n"/>
      <c r="B22" s="23" t="n"/>
      <c r="C22" s="23" t="n"/>
      <c r="E22" s="23" t="n"/>
      <c r="F22" s="23" t="n"/>
      <c r="G22" s="24" t="n"/>
      <c r="I22" s="23" t="n"/>
      <c r="J22" s="23" t="n"/>
      <c r="K22" s="23" t="n"/>
      <c r="M22" s="23" t="n"/>
      <c r="N22" s="24" t="n"/>
      <c r="O22" s="23" t="n"/>
      <c r="Q22" s="23" t="inlineStr">
        <is>
          <t>BN018</t>
        </is>
      </c>
      <c r="R22" s="24" t="inlineStr">
        <is>
          <t>Đỗ Đức S</t>
        </is>
      </c>
      <c r="S22" s="23" t="inlineStr">
        <is>
          <t>Cắt gan S</t>
        </is>
      </c>
    </row>
    <row r="23" ht="18" customHeight="1">
      <c r="A23" s="20" t="n"/>
      <c r="B23" s="20" t="n"/>
      <c r="C23" s="20" t="n"/>
      <c r="E23" s="20" t="n"/>
      <c r="F23" s="20" t="n"/>
      <c r="G23" s="21" t="n"/>
      <c r="I23" s="20" t="n"/>
      <c r="J23" s="20" t="n"/>
      <c r="K23" s="20" t="n"/>
      <c r="M23" s="20" t="n"/>
      <c r="N23" s="21" t="n"/>
      <c r="O23" s="20" t="n"/>
      <c r="Q23" s="20" t="inlineStr">
        <is>
          <t>BN019</t>
        </is>
      </c>
      <c r="R23" s="21" t="inlineStr">
        <is>
          <t>Bùi Mai T</t>
        </is>
      </c>
      <c r="S23" s="20" t="inlineStr">
        <is>
          <t>Ghép gan</t>
        </is>
      </c>
    </row>
    <row r="24" ht="18" customHeight="1">
      <c r="A24" s="23" t="n"/>
      <c r="B24" s="23" t="n"/>
      <c r="C24" s="23" t="n"/>
      <c r="E24" s="23" t="n"/>
      <c r="F24" s="23" t="n"/>
      <c r="G24" s="24" t="n"/>
      <c r="I24" s="23" t="n"/>
      <c r="J24" s="23" t="n"/>
      <c r="K24" s="23" t="n"/>
      <c r="M24" s="23" t="n"/>
      <c r="N24" s="24" t="n"/>
      <c r="O24" s="23" t="n"/>
      <c r="Q24" s="23" t="inlineStr">
        <is>
          <t>BN020</t>
        </is>
      </c>
      <c r="R24" s="24" t="inlineStr">
        <is>
          <t>Vũ Quang U</t>
        </is>
      </c>
      <c r="S24" s="23" t="inlineStr">
        <is>
          <t>Cắt gan</t>
        </is>
      </c>
    </row>
    <row r="25" ht="18" customHeight="1">
      <c r="A25" s="20" t="n"/>
      <c r="B25" s="20" t="n"/>
      <c r="C25" s="20" t="n"/>
      <c r="E25" s="20" t="n"/>
      <c r="F25" s="20" t="n"/>
      <c r="G25" s="21" t="n"/>
      <c r="I25" s="20" t="n"/>
      <c r="J25" s="20" t="n"/>
      <c r="K25" s="20" t="n"/>
      <c r="M25" s="20" t="n"/>
      <c r="N25" s="21" t="n"/>
      <c r="O25" s="20" t="n"/>
      <c r="Q25" s="20" t="inlineStr">
        <is>
          <t>BN021</t>
        </is>
      </c>
      <c r="R25" s="21" t="inlineStr">
        <is>
          <t>Đặng Ngọc V</t>
        </is>
      </c>
      <c r="S25" s="20" t="inlineStr">
        <is>
          <t>Ghép gan</t>
        </is>
      </c>
    </row>
    <row r="26" ht="18" customHeight="1">
      <c r="A26" s="23" t="n"/>
      <c r="B26" s="23" t="n"/>
      <c r="C26" s="23" t="n"/>
      <c r="E26" s="23" t="n"/>
      <c r="F26" s="23" t="n"/>
      <c r="G26" s="24" t="n"/>
      <c r="I26" s="23" t="n"/>
      <c r="J26" s="23" t="n"/>
      <c r="K26" s="23" t="n"/>
      <c r="M26" s="23" t="n"/>
      <c r="N26" s="24" t="n"/>
      <c r="O26" s="23" t="n"/>
      <c r="Q26" s="23" t="inlineStr">
        <is>
          <t>BN022</t>
        </is>
      </c>
      <c r="R26" s="24" t="inlineStr">
        <is>
          <t>Ngô Anh W</t>
        </is>
      </c>
      <c r="S26" s="23" t="inlineStr">
        <is>
          <t>Tái thùy</t>
        </is>
      </c>
    </row>
    <row r="27" ht="18" customHeight="1">
      <c r="A27" s="20" t="n"/>
      <c r="B27" s="20" t="n"/>
      <c r="C27" s="20" t="n"/>
      <c r="E27" s="20" t="n"/>
      <c r="F27" s="20" t="n"/>
      <c r="G27" s="21" t="n"/>
      <c r="I27" s="20" t="n"/>
      <c r="J27" s="20" t="n"/>
      <c r="K27" s="20" t="n"/>
      <c r="M27" s="20" t="n"/>
      <c r="N27" s="21" t="n"/>
      <c r="O27" s="20" t="n"/>
      <c r="Q27" s="20" t="inlineStr">
        <is>
          <t>BN023</t>
        </is>
      </c>
      <c r="R27" s="21" t="inlineStr">
        <is>
          <t>Mai Thu X</t>
        </is>
      </c>
      <c r="S27" s="20" t="inlineStr">
        <is>
          <t>Cắt gan</t>
        </is>
      </c>
    </row>
    <row r="28" ht="18" customHeight="1">
      <c r="A28" s="23" t="n"/>
      <c r="B28" s="23" t="n"/>
      <c r="C28" s="23" t="n"/>
      <c r="E28" s="23" t="n"/>
      <c r="F28" s="23" t="n"/>
      <c r="G28" s="24" t="n"/>
      <c r="I28" s="23" t="n"/>
      <c r="J28" s="23" t="n"/>
      <c r="K28" s="23" t="n"/>
      <c r="M28" s="23" t="n"/>
      <c r="N28" s="24" t="n"/>
      <c r="O28" s="23" t="n"/>
      <c r="Q28" s="23" t="inlineStr">
        <is>
          <t>BN024</t>
        </is>
      </c>
      <c r="R28" s="24" t="inlineStr">
        <is>
          <t>Phan Gia Y</t>
        </is>
      </c>
      <c r="S28" s="23" t="inlineStr">
        <is>
          <t>Ghép gan</t>
        </is>
      </c>
    </row>
    <row r="29" ht="18" customHeight="1">
      <c r="A29" s="20" t="n"/>
      <c r="B29" s="20" t="n"/>
      <c r="C29" s="20" t="n"/>
      <c r="E29" s="20" t="n"/>
      <c r="F29" s="20" t="n"/>
      <c r="G29" s="21" t="n"/>
      <c r="I29" s="20" t="n"/>
      <c r="J29" s="20" t="n"/>
      <c r="K29" s="20" t="n"/>
      <c r="M29" s="20" t="n"/>
      <c r="N29" s="21" t="n"/>
      <c r="O29" s="20" t="n"/>
      <c r="Q29" s="20" t="inlineStr">
        <is>
          <t>BN025</t>
        </is>
      </c>
      <c r="R29" s="21" t="inlineStr">
        <is>
          <t>Nguyễn Bảo Z</t>
        </is>
      </c>
      <c r="S29" s="20" t="inlineStr">
        <is>
          <t>Ghép gan</t>
        </is>
      </c>
    </row>
    <row r="30" ht="18" customHeight="1">
      <c r="A30" s="23" t="n"/>
      <c r="B30" s="23" t="n"/>
      <c r="C30" s="23" t="n"/>
      <c r="E30" s="23" t="n"/>
      <c r="F30" s="23" t="n"/>
      <c r="G30" s="24" t="n"/>
      <c r="I30" s="23" t="n"/>
      <c r="J30" s="23" t="n"/>
      <c r="K30" s="23" t="n"/>
      <c r="M30" s="23" t="n"/>
      <c r="N30" s="24" t="n"/>
      <c r="O30" s="23" t="n"/>
      <c r="Q30" s="23" t="inlineStr">
        <is>
          <t>BN026</t>
        </is>
      </c>
      <c r="R30" s="24" t="inlineStr">
        <is>
          <t>Trần Minh AA</t>
        </is>
      </c>
      <c r="S30" s="23" t="inlineStr">
        <is>
          <t>Ghép gan</t>
        </is>
      </c>
    </row>
    <row r="31" ht="18" customHeight="1">
      <c r="A31" s="20" t="n"/>
      <c r="B31" s="20" t="n"/>
      <c r="C31" s="20" t="n"/>
      <c r="E31" s="20" t="n"/>
      <c r="F31" s="20" t="n"/>
      <c r="G31" s="21" t="n"/>
      <c r="I31" s="20" t="n"/>
      <c r="J31" s="20" t="n"/>
      <c r="K31" s="20" t="n"/>
      <c r="M31" s="20" t="n"/>
      <c r="N31" s="21" t="n"/>
      <c r="O31" s="20" t="n"/>
      <c r="Q31" s="20" t="inlineStr">
        <is>
          <t>BN027</t>
        </is>
      </c>
      <c r="R31" s="21" t="inlineStr">
        <is>
          <t>Lê Hoài AB</t>
        </is>
      </c>
      <c r="S31" s="20" t="inlineStr">
        <is>
          <t>Tái thùy</t>
        </is>
      </c>
    </row>
    <row r="32" ht="18" customHeight="1">
      <c r="A32" s="23" t="n"/>
      <c r="B32" s="23" t="n"/>
      <c r="C32" s="23" t="n"/>
      <c r="E32" s="23" t="n"/>
      <c r="F32" s="23" t="n"/>
      <c r="G32" s="24" t="n"/>
      <c r="I32" s="23" t="n"/>
      <c r="J32" s="23" t="n"/>
      <c r="K32" s="23" t="n"/>
      <c r="M32" s="23" t="n"/>
      <c r="N32" s="24" t="n"/>
      <c r="O32" s="23" t="n"/>
      <c r="Q32" s="23" t="inlineStr">
        <is>
          <t>BN028</t>
        </is>
      </c>
      <c r="R32" s="24" t="inlineStr">
        <is>
          <t>Phạm Tâm AC</t>
        </is>
      </c>
      <c r="S32" s="23" t="inlineStr">
        <is>
          <t>Ghép gan</t>
        </is>
      </c>
    </row>
    <row r="33" ht="18" customHeight="1">
      <c r="A33" s="20" t="n"/>
      <c r="B33" s="20" t="n"/>
      <c r="C33" s="20" t="n"/>
      <c r="E33" s="20" t="n"/>
      <c r="F33" s="20" t="n"/>
      <c r="G33" s="21" t="n"/>
      <c r="I33" s="20" t="n"/>
      <c r="J33" s="20" t="n"/>
      <c r="K33" s="20" t="n"/>
      <c r="M33" s="20" t="n"/>
      <c r="N33" s="21" t="n"/>
      <c r="O33" s="20" t="n"/>
      <c r="Q33" s="20" t="inlineStr">
        <is>
          <t>BN029</t>
        </is>
      </c>
      <c r="R33" s="21" t="inlineStr">
        <is>
          <t>Hoàng Sơn AD</t>
        </is>
      </c>
      <c r="S33" s="20" t="inlineStr">
        <is>
          <t>Cắt gan S</t>
        </is>
      </c>
    </row>
    <row r="34" ht="18" customHeight="1">
      <c r="A34" s="23" t="n"/>
      <c r="B34" s="23" t="n"/>
      <c r="C34" s="23" t="n"/>
      <c r="E34" s="23" t="n"/>
      <c r="F34" s="23" t="n"/>
      <c r="G34" s="24" t="n"/>
      <c r="I34" s="23" t="n"/>
      <c r="J34" s="23" t="n"/>
      <c r="K34" s="23" t="n"/>
      <c r="M34" s="23" t="n"/>
      <c r="N34" s="24" t="n"/>
      <c r="O34" s="23" t="n"/>
      <c r="Q34" s="23" t="inlineStr">
        <is>
          <t>BN030</t>
        </is>
      </c>
      <c r="R34" s="24" t="inlineStr">
        <is>
          <t>Đỗ Hạnh AE</t>
        </is>
      </c>
      <c r="S34" s="23" t="inlineStr">
        <is>
          <t>Cắt gan</t>
        </is>
      </c>
    </row>
    <row r="35" ht="18" customHeight="1">
      <c r="A35" s="20" t="n"/>
      <c r="B35" s="20" t="n"/>
      <c r="C35" s="20" t="n"/>
      <c r="E35" s="20" t="n"/>
      <c r="F35" s="20" t="n"/>
      <c r="G35" s="21" t="n"/>
      <c r="I35" s="20" t="n"/>
      <c r="J35" s="20" t="n"/>
      <c r="K35" s="20" t="n"/>
      <c r="M35" s="20" t="n"/>
      <c r="N35" s="21" t="n"/>
      <c r="O35" s="20" t="n"/>
      <c r="Q35" s="20" t="inlineStr">
        <is>
          <t>BN031</t>
        </is>
      </c>
      <c r="R35" s="21" t="inlineStr">
        <is>
          <t>Bùi Nam AF</t>
        </is>
      </c>
      <c r="S35" s="20" t="inlineStr">
        <is>
          <t>Ghép gan</t>
        </is>
      </c>
    </row>
    <row r="36" ht="18" customHeight="1">
      <c r="A36" s="23" t="n"/>
      <c r="B36" s="23" t="n"/>
      <c r="C36" s="23" t="n"/>
      <c r="E36" s="23" t="n"/>
      <c r="F36" s="23" t="n"/>
      <c r="G36" s="24" t="n"/>
      <c r="I36" s="23" t="n"/>
      <c r="J36" s="23" t="n"/>
      <c r="K36" s="23" t="n"/>
      <c r="M36" s="23" t="n"/>
      <c r="N36" s="24" t="n"/>
      <c r="O36" s="23" t="n"/>
      <c r="Q36" s="23" t="inlineStr">
        <is>
          <t>BN032</t>
        </is>
      </c>
      <c r="R36" s="24" t="inlineStr">
        <is>
          <t>Vũ Linh AG</t>
        </is>
      </c>
      <c r="S36" s="23" t="inlineStr">
        <is>
          <t>Tái thùy</t>
        </is>
      </c>
    </row>
    <row r="37" ht="18" customHeight="1">
      <c r="A37" s="20" t="n"/>
      <c r="B37" s="20" t="n"/>
      <c r="C37" s="20" t="n"/>
      <c r="E37" s="20" t="n"/>
      <c r="F37" s="20" t="n"/>
      <c r="G37" s="21" t="n"/>
      <c r="I37" s="20" t="n"/>
      <c r="J37" s="20" t="n"/>
      <c r="K37" s="20" t="n"/>
      <c r="M37" s="20" t="n"/>
      <c r="N37" s="21" t="n"/>
      <c r="O37" s="20" t="n"/>
      <c r="Q37" s="20" t="inlineStr">
        <is>
          <t>BN033</t>
        </is>
      </c>
      <c r="R37" s="21" t="inlineStr">
        <is>
          <t>Đặng Khôi AH</t>
        </is>
      </c>
      <c r="S37" s="20" t="inlineStr">
        <is>
          <t>Cắt gan</t>
        </is>
      </c>
    </row>
    <row r="38" ht="18" customHeight="1">
      <c r="A38" s="23" t="n"/>
      <c r="B38" s="23" t="n"/>
      <c r="C38" s="23" t="n"/>
      <c r="E38" s="23" t="n"/>
      <c r="F38" s="23" t="n"/>
      <c r="G38" s="24" t="n"/>
      <c r="I38" s="23" t="n"/>
      <c r="J38" s="23" t="n"/>
      <c r="K38" s="23" t="n"/>
      <c r="M38" s="23" t="n"/>
      <c r="N38" s="24" t="n"/>
      <c r="O38" s="23" t="n"/>
      <c r="Q38" s="23" t="inlineStr">
        <is>
          <t>BN034</t>
        </is>
      </c>
      <c r="R38" s="24" t="inlineStr">
        <is>
          <t>Ngô Diệp AI</t>
        </is>
      </c>
      <c r="S38" s="23" t="inlineStr">
        <is>
          <t>Ghép gan</t>
        </is>
      </c>
    </row>
    <row r="39" ht="18" customHeight="1">
      <c r="A39" s="20" t="n"/>
      <c r="B39" s="20" t="n"/>
      <c r="C39" s="20" t="n"/>
      <c r="E39" s="20" t="n"/>
      <c r="F39" s="20" t="n"/>
      <c r="G39" s="21" t="n"/>
      <c r="I39" s="20" t="n"/>
      <c r="J39" s="20" t="n"/>
      <c r="K39" s="20" t="n"/>
      <c r="M39" s="20" t="n"/>
      <c r="N39" s="21" t="n"/>
      <c r="O39" s="20" t="n"/>
      <c r="Q39" s="20" t="inlineStr">
        <is>
          <t>BN035</t>
        </is>
      </c>
      <c r="R39" s="21" t="inlineStr">
        <is>
          <t>Mai Việt AJ</t>
        </is>
      </c>
      <c r="S39" s="20" t="inlineStr">
        <is>
          <t>Cắt gan</t>
        </is>
      </c>
    </row>
    <row r="40" ht="18" customHeight="1">
      <c r="A40" s="23" t="n"/>
      <c r="B40" s="23" t="n"/>
      <c r="C40" s="23" t="n"/>
      <c r="E40" s="23" t="n"/>
      <c r="F40" s="23" t="n"/>
      <c r="G40" s="24" t="n"/>
      <c r="I40" s="23" t="n"/>
      <c r="J40" s="23" t="n"/>
      <c r="K40" s="23" t="n"/>
      <c r="M40" s="23" t="n"/>
      <c r="N40" s="24" t="n"/>
      <c r="O40" s="23" t="n"/>
      <c r="Q40" s="23" t="inlineStr">
        <is>
          <t>BN036</t>
        </is>
      </c>
      <c r="R40" s="24" t="inlineStr">
        <is>
          <t>Phan Ngân AK</t>
        </is>
      </c>
      <c r="S40" s="23" t="inlineStr">
        <is>
          <t>Ghép gan</t>
        </is>
      </c>
    </row>
  </sheetData>
  <autoFilter ref="Q4:S40"/>
  <mergeCells count="7">
    <mergeCell ref="A1:S1"/>
    <mergeCell ref="M3:O3"/>
    <mergeCell ref="A3:C3"/>
    <mergeCell ref="E3:G3"/>
    <mergeCell ref="I3:K3"/>
    <mergeCell ref="A2:S2"/>
    <mergeCell ref="Q3:S3"/>
  </mergeCells>
  <dataValidations count="1">
    <dataValidation sqref="S5:S40" showDropDown="0" showInputMessage="0" showErrorMessage="0" allowBlank="1" errorTitle="Loại PT không hợp lệ" error="Chọn Loại PT từ danh sách" promptTitle="Loại PT" prompt="Ghép gan / Cắt gan / Tái thùy / Cắt gan S" type="list">
      <formula1>"Ghép gan,Cắt gan,Tái thùy,Cắt gan S"</formula1>
    </dataValidation>
  </dataValidations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  <col width="20" customWidth="1" min="5" max="5"/>
    <col width="14" customWidth="1" min="6" max="6"/>
    <col width="12" customWidth="1" min="7" max="7"/>
    <col width="18" customWidth="1" min="8" max="8"/>
    <col width="12" customWidth="1" min="9" max="9"/>
    <col width="12" customWidth="1" min="10" max="10"/>
    <col width="16" customWidth="1" min="11" max="11"/>
    <col width="10" customWidth="1" min="12" max="12"/>
    <col width="18" customWidth="1" min="13" max="13"/>
    <col width="14" customWidth="1" min="14" max="14"/>
  </cols>
  <sheetData>
    <row r="1" ht="22" customHeight="1">
      <c r="A1" s="25" t="inlineStr">
        <is>
          <t>KHU VỰC TÍNH TOÁN (KHÔNG SỬA TAY)</t>
        </is>
      </c>
    </row>
    <row r="2" ht="20" customHeight="1">
      <c r="A2" s="26" t="inlineStr">
        <is>
          <t>Các công thức tự động tính toán dựa trên dữ liệu INPUT. Không sửa tay.</t>
        </is>
      </c>
    </row>
    <row r="3" ht="8" customHeight="1"/>
    <row r="64" ht="28" customHeight="1">
      <c r="A64" s="27" t="inlineStr">
        <is>
          <t>Mã BN</t>
        </is>
      </c>
      <c r="B64" s="27" t="inlineStr">
        <is>
          <t>Tên BN</t>
        </is>
      </c>
      <c r="C64" s="27" t="inlineStr">
        <is>
          <t>Loại PT</t>
        </is>
      </c>
      <c r="D64" s="27" t="inlineStr">
        <is>
          <t>Mã BS dự kiến</t>
        </is>
      </c>
      <c r="E64" s="27" t="inlineStr">
        <is>
          <t>Tên BS</t>
        </is>
      </c>
      <c r="F64" s="27" t="inlineStr">
        <is>
          <t>Ngày dự kiến</t>
        </is>
      </c>
      <c r="G64" s="27" t="inlineStr">
        <is>
          <t>Thứ</t>
        </is>
      </c>
      <c r="H64" s="27" t="inlineStr">
        <is>
          <t>Check phòng khám</t>
        </is>
      </c>
      <c r="I64" s="27" t="inlineStr">
        <is>
          <t>Check họp</t>
        </is>
      </c>
      <c r="J64" s="27" t="inlineStr">
        <is>
          <t>Check trực</t>
        </is>
      </c>
      <c r="K64" s="27" t="inlineStr">
        <is>
          <t>Check loại PT</t>
        </is>
      </c>
      <c r="L64" s="27" t="inlineStr">
        <is>
          <t>Tổng OK</t>
        </is>
      </c>
      <c r="M64" s="27" t="inlineStr">
        <is>
          <t>Số ca trong ngày</t>
        </is>
      </c>
      <c r="N64" s="27" t="inlineStr">
        <is>
          <t>Kết luận</t>
        </is>
      </c>
    </row>
    <row r="65">
      <c r="A65" s="28">
        <f>INPUT!Q5</f>
        <v/>
      </c>
      <c r="B65" s="29">
        <f>INPUT!R5</f>
        <v/>
      </c>
      <c r="C65" s="28">
        <f>INPUT!S5</f>
        <v/>
      </c>
      <c r="D65" s="28">
        <f>IF(C65="Ghép gan",IF(MOD(COUNTIF($C$65:C65,"Ghép gan"),2)=1,"BS04","BS02"),IF(C65="Cắt gan",IF(MOD(COUNTIF($C$65:C65,"Cắt gan"),2)=1,"BS05","BS09"),IF(C65="Tái thùy","BS08",IF(C65="Cắt gan S","BS06",""))))</f>
        <v/>
      </c>
      <c r="E65" s="29">
        <f>XLOOKUP(D65,INPUT!$M$5:$M$10,INPUT!$N$5:$N$10,"")</f>
        <v/>
      </c>
      <c r="F65" s="30" t="n">
        <v>46153</v>
      </c>
      <c r="G65" s="28">
        <f>TEXT(F65,"[$-vi-VN]dddd")</f>
        <v/>
      </c>
      <c r="H65" s="28">
        <f>IF(COUNTIFS(INPUT!$A$5:$A$11,F65,INPUT!$C$5:$C$11,D65)&gt;0,"Bận phòng khám","OK")</f>
        <v/>
      </c>
      <c r="I65" s="28">
        <f>IF(COUNTIF(INPUT!$E$5:$E$11,F65)&gt;0,"Bận họp","OK")</f>
        <v/>
      </c>
      <c r="J65" s="28">
        <f>IF(COUNTIFS(INPUT!$I$5:$I$10,F65,INPUT!$K$5:$K$10,D65)&gt;0,"Bận trực","OK")</f>
        <v/>
      </c>
      <c r="K65" s="28">
        <f>IF(XLOOKUP(D65,INPUT!$M$5:$M$10,INPUT!$O$5:$O$10,"")=C65,"OK","Sai loại PT")</f>
        <v/>
      </c>
      <c r="L65" s="28">
        <f>IF(AND(H65="OK",I65="OK",J65="OK",K65="OK"),"OK","Bận lịch")</f>
        <v/>
      </c>
      <c r="M65" s="28">
        <f>COUNTIF($F$65:$F$100,F65)</f>
        <v/>
      </c>
      <c r="N65" s="28">
        <f>IF(AND(L65="OK",M65&lt;=11),"Đủ điều kiện","Loại")</f>
        <v/>
      </c>
    </row>
    <row r="66">
      <c r="A66" s="28">
        <f>INPUT!Q6</f>
        <v/>
      </c>
      <c r="B66" s="29">
        <f>INPUT!R6</f>
        <v/>
      </c>
      <c r="C66" s="28">
        <f>INPUT!S6</f>
        <v/>
      </c>
      <c r="D66" s="28">
        <f>IF(C66="Ghép gan",IF(MOD(COUNTIF($C$65:C66,"Ghép gan"),2)=1,"BS04","BS02"),IF(C66="Cắt gan",IF(MOD(COUNTIF($C$65:C66,"Cắt gan"),2)=1,"BS05","BS09"),IF(C66="Tái thùy","BS08",IF(C66="Cắt gan S","BS06",""))))</f>
        <v/>
      </c>
      <c r="E66" s="29">
        <f>XLOOKUP(D66,INPUT!$M$5:$M$10,INPUT!$N$5:$N$10,"")</f>
        <v/>
      </c>
      <c r="F66" s="30" t="n">
        <v>46154</v>
      </c>
      <c r="G66" s="28">
        <f>TEXT(F66,"[$-vi-VN]dddd")</f>
        <v/>
      </c>
      <c r="H66" s="28">
        <f>IF(COUNTIFS(INPUT!$A$5:$A$11,F66,INPUT!$C$5:$C$11,D66)&gt;0,"Bận phòng khám","OK")</f>
        <v/>
      </c>
      <c r="I66" s="28">
        <f>IF(COUNTIF(INPUT!$E$5:$E$11,F66)&gt;0,"Bận họp","OK")</f>
        <v/>
      </c>
      <c r="J66" s="28">
        <f>IF(COUNTIFS(INPUT!$I$5:$I$10,F66,INPUT!$K$5:$K$10,D66)&gt;0,"Bận trực","OK")</f>
        <v/>
      </c>
      <c r="K66" s="28">
        <f>IF(XLOOKUP(D66,INPUT!$M$5:$M$10,INPUT!$O$5:$O$10,"")=C66,"OK","Sai loại PT")</f>
        <v/>
      </c>
      <c r="L66" s="28">
        <f>IF(AND(H66="OK",I66="OK",J66="OK",K66="OK"),"OK","Bận lịch")</f>
        <v/>
      </c>
      <c r="M66" s="28">
        <f>COUNTIF($F$65:$F$100,F66)</f>
        <v/>
      </c>
      <c r="N66" s="28">
        <f>IF(AND(L66="OK",M66&lt;=11),"Đủ điều kiện","Loại")</f>
        <v/>
      </c>
    </row>
    <row r="67">
      <c r="A67" s="28">
        <f>INPUT!Q7</f>
        <v/>
      </c>
      <c r="B67" s="29">
        <f>INPUT!R7</f>
        <v/>
      </c>
      <c r="C67" s="28">
        <f>INPUT!S7</f>
        <v/>
      </c>
      <c r="D67" s="28">
        <f>IF(C67="Ghép gan",IF(MOD(COUNTIF($C$65:C67,"Ghép gan"),2)=1,"BS04","BS02"),IF(C67="Cắt gan",IF(MOD(COUNTIF($C$65:C67,"Cắt gan"),2)=1,"BS05","BS09"),IF(C67="Tái thùy","BS08",IF(C67="Cắt gan S","BS06",""))))</f>
        <v/>
      </c>
      <c r="E67" s="29">
        <f>XLOOKUP(D67,INPUT!$M$5:$M$10,INPUT!$N$5:$N$10,"")</f>
        <v/>
      </c>
      <c r="F67" s="30" t="n">
        <v>46155</v>
      </c>
      <c r="G67" s="28">
        <f>TEXT(F67,"[$-vi-VN]dddd")</f>
        <v/>
      </c>
      <c r="H67" s="28">
        <f>IF(COUNTIFS(INPUT!$A$5:$A$11,F67,INPUT!$C$5:$C$11,D67)&gt;0,"Bận phòng khám","OK")</f>
        <v/>
      </c>
      <c r="I67" s="28">
        <f>IF(COUNTIF(INPUT!$E$5:$E$11,F67)&gt;0,"Bận họp","OK")</f>
        <v/>
      </c>
      <c r="J67" s="28">
        <f>IF(COUNTIFS(INPUT!$I$5:$I$10,F67,INPUT!$K$5:$K$10,D67)&gt;0,"Bận trực","OK")</f>
        <v/>
      </c>
      <c r="K67" s="28">
        <f>IF(XLOOKUP(D67,INPUT!$M$5:$M$10,INPUT!$O$5:$O$10,"")=C67,"OK","Sai loại PT")</f>
        <v/>
      </c>
      <c r="L67" s="28">
        <f>IF(AND(H67="OK",I67="OK",J67="OK",K67="OK"),"OK","Bận lịch")</f>
        <v/>
      </c>
      <c r="M67" s="28">
        <f>COUNTIF($F$65:$F$100,F67)</f>
        <v/>
      </c>
      <c r="N67" s="28">
        <f>IF(AND(L67="OK",M67&lt;=11),"Đủ điều kiện","Loại")</f>
        <v/>
      </c>
    </row>
    <row r="68">
      <c r="A68" s="28">
        <f>INPUT!Q8</f>
        <v/>
      </c>
      <c r="B68" s="29">
        <f>INPUT!R8</f>
        <v/>
      </c>
      <c r="C68" s="28">
        <f>INPUT!S8</f>
        <v/>
      </c>
      <c r="D68" s="28">
        <f>IF(C68="Ghép gan",IF(MOD(COUNTIF($C$65:C68,"Ghép gan"),2)=1,"BS04","BS02"),IF(C68="Cắt gan",IF(MOD(COUNTIF($C$65:C68,"Cắt gan"),2)=1,"BS05","BS09"),IF(C68="Tái thùy","BS08",IF(C68="Cắt gan S","BS06",""))))</f>
        <v/>
      </c>
      <c r="E68" s="29">
        <f>XLOOKUP(D68,INPUT!$M$5:$M$10,INPUT!$N$5:$N$10,"")</f>
        <v/>
      </c>
      <c r="F68" s="30" t="n">
        <v>46156</v>
      </c>
      <c r="G68" s="28">
        <f>TEXT(F68,"[$-vi-VN]dddd")</f>
        <v/>
      </c>
      <c r="H68" s="28">
        <f>IF(COUNTIFS(INPUT!$A$5:$A$11,F68,INPUT!$C$5:$C$11,D68)&gt;0,"Bận phòng khám","OK")</f>
        <v/>
      </c>
      <c r="I68" s="28">
        <f>IF(COUNTIF(INPUT!$E$5:$E$11,F68)&gt;0,"Bận họp","OK")</f>
        <v/>
      </c>
      <c r="J68" s="28">
        <f>IF(COUNTIFS(INPUT!$I$5:$I$10,F68,INPUT!$K$5:$K$10,D68)&gt;0,"Bận trực","OK")</f>
        <v/>
      </c>
      <c r="K68" s="28">
        <f>IF(XLOOKUP(D68,INPUT!$M$5:$M$10,INPUT!$O$5:$O$10,"")=C68,"OK","Sai loại PT")</f>
        <v/>
      </c>
      <c r="L68" s="28">
        <f>IF(AND(H68="OK",I68="OK",J68="OK",K68="OK"),"OK","Bận lịch")</f>
        <v/>
      </c>
      <c r="M68" s="28">
        <f>COUNTIF($F$65:$F$100,F68)</f>
        <v/>
      </c>
      <c r="N68" s="28">
        <f>IF(AND(L68="OK",M68&lt;=11),"Đủ điều kiện","Loại")</f>
        <v/>
      </c>
    </row>
    <row r="69">
      <c r="A69" s="28">
        <f>INPUT!Q9</f>
        <v/>
      </c>
      <c r="B69" s="29">
        <f>INPUT!R9</f>
        <v/>
      </c>
      <c r="C69" s="28">
        <f>INPUT!S9</f>
        <v/>
      </c>
      <c r="D69" s="28">
        <f>IF(C69="Ghép gan",IF(MOD(COUNTIF($C$65:C69,"Ghép gan"),2)=1,"BS04","BS02"),IF(C69="Cắt gan",IF(MOD(COUNTIF($C$65:C69,"Cắt gan"),2)=1,"BS05","BS09"),IF(C69="Tái thùy","BS08",IF(C69="Cắt gan S","BS06",""))))</f>
        <v/>
      </c>
      <c r="E69" s="29">
        <f>XLOOKUP(D69,INPUT!$M$5:$M$10,INPUT!$N$5:$N$10,"")</f>
        <v/>
      </c>
      <c r="F69" s="30" t="n">
        <v>46153</v>
      </c>
      <c r="G69" s="28">
        <f>TEXT(F69,"[$-vi-VN]dddd")</f>
        <v/>
      </c>
      <c r="H69" s="28">
        <f>IF(COUNTIFS(INPUT!$A$5:$A$11,F69,INPUT!$C$5:$C$11,D69)&gt;0,"Bận phòng khám","OK")</f>
        <v/>
      </c>
      <c r="I69" s="28">
        <f>IF(COUNTIF(INPUT!$E$5:$E$11,F69)&gt;0,"Bận họp","OK")</f>
        <v/>
      </c>
      <c r="J69" s="28">
        <f>IF(COUNTIFS(INPUT!$I$5:$I$10,F69,INPUT!$K$5:$K$10,D69)&gt;0,"Bận trực","OK")</f>
        <v/>
      </c>
      <c r="K69" s="28">
        <f>IF(XLOOKUP(D69,INPUT!$M$5:$M$10,INPUT!$O$5:$O$10,"")=C69,"OK","Sai loại PT")</f>
        <v/>
      </c>
      <c r="L69" s="28">
        <f>IF(AND(H69="OK",I69="OK",J69="OK",K69="OK"),"OK","Bận lịch")</f>
        <v/>
      </c>
      <c r="M69" s="28">
        <f>COUNTIF($F$65:$F$100,F69)</f>
        <v/>
      </c>
      <c r="N69" s="28">
        <f>IF(AND(L69="OK",M69&lt;=11),"Đủ điều kiện","Loại")</f>
        <v/>
      </c>
    </row>
    <row r="70">
      <c r="A70" s="28">
        <f>INPUT!Q10</f>
        <v/>
      </c>
      <c r="B70" s="29">
        <f>INPUT!R10</f>
        <v/>
      </c>
      <c r="C70" s="28">
        <f>INPUT!S10</f>
        <v/>
      </c>
      <c r="D70" s="28">
        <f>IF(C70="Ghép gan",IF(MOD(COUNTIF($C$65:C70,"Ghép gan"),2)=1,"BS04","BS02"),IF(C70="Cắt gan",IF(MOD(COUNTIF($C$65:C70,"Cắt gan"),2)=1,"BS05","BS09"),IF(C70="Tái thùy","BS08",IF(C70="Cắt gan S","BS06",""))))</f>
        <v/>
      </c>
      <c r="E70" s="29">
        <f>XLOOKUP(D70,INPUT!$M$5:$M$10,INPUT!$N$5:$N$10,"")</f>
        <v/>
      </c>
      <c r="F70" s="30" t="n">
        <v>46154</v>
      </c>
      <c r="G70" s="28">
        <f>TEXT(F70,"[$-vi-VN]dddd")</f>
        <v/>
      </c>
      <c r="H70" s="28">
        <f>IF(COUNTIFS(INPUT!$A$5:$A$11,F70,INPUT!$C$5:$C$11,D70)&gt;0,"Bận phòng khám","OK")</f>
        <v/>
      </c>
      <c r="I70" s="28">
        <f>IF(COUNTIF(INPUT!$E$5:$E$11,F70)&gt;0,"Bận họp","OK")</f>
        <v/>
      </c>
      <c r="J70" s="28">
        <f>IF(COUNTIFS(INPUT!$I$5:$I$10,F70,INPUT!$K$5:$K$10,D70)&gt;0,"Bận trực","OK")</f>
        <v/>
      </c>
      <c r="K70" s="28">
        <f>IF(XLOOKUP(D70,INPUT!$M$5:$M$10,INPUT!$O$5:$O$10,"")=C70,"OK","Sai loại PT")</f>
        <v/>
      </c>
      <c r="L70" s="28">
        <f>IF(AND(H70="OK",I70="OK",J70="OK",K70="OK"),"OK","Bận lịch")</f>
        <v/>
      </c>
      <c r="M70" s="28">
        <f>COUNTIF($F$65:$F$100,F70)</f>
        <v/>
      </c>
      <c r="N70" s="28">
        <f>IF(AND(L70="OK",M70&lt;=11),"Đủ điều kiện","Loại")</f>
        <v/>
      </c>
    </row>
    <row r="71">
      <c r="A71" s="28">
        <f>INPUT!Q11</f>
        <v/>
      </c>
      <c r="B71" s="29">
        <f>INPUT!R11</f>
        <v/>
      </c>
      <c r="C71" s="28">
        <f>INPUT!S11</f>
        <v/>
      </c>
      <c r="D71" s="28">
        <f>IF(C71="Ghép gan",IF(MOD(COUNTIF($C$65:C71,"Ghép gan"),2)=1,"BS04","BS02"),IF(C71="Cắt gan",IF(MOD(COUNTIF($C$65:C71,"Cắt gan"),2)=1,"BS05","BS09"),IF(C71="Tái thùy","BS08",IF(C71="Cắt gan S","BS06",""))))</f>
        <v/>
      </c>
      <c r="E71" s="29">
        <f>XLOOKUP(D71,INPUT!$M$5:$M$10,INPUT!$N$5:$N$10,"")</f>
        <v/>
      </c>
      <c r="F71" s="30" t="n">
        <v>46155</v>
      </c>
      <c r="G71" s="28">
        <f>TEXT(F71,"[$-vi-VN]dddd")</f>
        <v/>
      </c>
      <c r="H71" s="28">
        <f>IF(COUNTIFS(INPUT!$A$5:$A$11,F71,INPUT!$C$5:$C$11,D71)&gt;0,"Bận phòng khám","OK")</f>
        <v/>
      </c>
      <c r="I71" s="28">
        <f>IF(COUNTIF(INPUT!$E$5:$E$11,F71)&gt;0,"Bận họp","OK")</f>
        <v/>
      </c>
      <c r="J71" s="28">
        <f>IF(COUNTIFS(INPUT!$I$5:$I$10,F71,INPUT!$K$5:$K$10,D71)&gt;0,"Bận trực","OK")</f>
        <v/>
      </c>
      <c r="K71" s="28">
        <f>IF(XLOOKUP(D71,INPUT!$M$5:$M$10,INPUT!$O$5:$O$10,"")=C71,"OK","Sai loại PT")</f>
        <v/>
      </c>
      <c r="L71" s="28">
        <f>IF(AND(H71="OK",I71="OK",J71="OK",K71="OK"),"OK","Bận lịch")</f>
        <v/>
      </c>
      <c r="M71" s="28">
        <f>COUNTIF($F$65:$F$100,F71)</f>
        <v/>
      </c>
      <c r="N71" s="28">
        <f>IF(AND(L71="OK",M71&lt;=11),"Đủ điều kiện","Loại")</f>
        <v/>
      </c>
    </row>
    <row r="72">
      <c r="A72" s="28">
        <f>INPUT!Q12</f>
        <v/>
      </c>
      <c r="B72" s="29">
        <f>INPUT!R12</f>
        <v/>
      </c>
      <c r="C72" s="28">
        <f>INPUT!S12</f>
        <v/>
      </c>
      <c r="D72" s="28">
        <f>IF(C72="Ghép gan",IF(MOD(COUNTIF($C$65:C72,"Ghép gan"),2)=1,"BS04","BS02"),IF(C72="Cắt gan",IF(MOD(COUNTIF($C$65:C72,"Cắt gan"),2)=1,"BS05","BS09"),IF(C72="Tái thùy","BS08",IF(C72="Cắt gan S","BS06",""))))</f>
        <v/>
      </c>
      <c r="E72" s="29">
        <f>XLOOKUP(D72,INPUT!$M$5:$M$10,INPUT!$N$5:$N$10,"")</f>
        <v/>
      </c>
      <c r="F72" s="30" t="n">
        <v>46156</v>
      </c>
      <c r="G72" s="28">
        <f>TEXT(F72,"[$-vi-VN]dddd")</f>
        <v/>
      </c>
      <c r="H72" s="28">
        <f>IF(COUNTIFS(INPUT!$A$5:$A$11,F72,INPUT!$C$5:$C$11,D72)&gt;0,"Bận phòng khám","OK")</f>
        <v/>
      </c>
      <c r="I72" s="28">
        <f>IF(COUNTIF(INPUT!$E$5:$E$11,F72)&gt;0,"Bận họp","OK")</f>
        <v/>
      </c>
      <c r="J72" s="28">
        <f>IF(COUNTIFS(INPUT!$I$5:$I$10,F72,INPUT!$K$5:$K$10,D72)&gt;0,"Bận trực","OK")</f>
        <v/>
      </c>
      <c r="K72" s="28">
        <f>IF(XLOOKUP(D72,INPUT!$M$5:$M$10,INPUT!$O$5:$O$10,"")=C72,"OK","Sai loại PT")</f>
        <v/>
      </c>
      <c r="L72" s="28">
        <f>IF(AND(H72="OK",I72="OK",J72="OK",K72="OK"),"OK","Bận lịch")</f>
        <v/>
      </c>
      <c r="M72" s="28">
        <f>COUNTIF($F$65:$F$100,F72)</f>
        <v/>
      </c>
      <c r="N72" s="28">
        <f>IF(AND(L72="OK",M72&lt;=11),"Đủ điều kiện","Loại")</f>
        <v/>
      </c>
    </row>
    <row r="73">
      <c r="A73" s="28">
        <f>INPUT!Q13</f>
        <v/>
      </c>
      <c r="B73" s="29">
        <f>INPUT!R13</f>
        <v/>
      </c>
      <c r="C73" s="28">
        <f>INPUT!S13</f>
        <v/>
      </c>
      <c r="D73" s="28">
        <f>IF(C73="Ghép gan",IF(MOD(COUNTIF($C$65:C73,"Ghép gan"),2)=1,"BS04","BS02"),IF(C73="Cắt gan",IF(MOD(COUNTIF($C$65:C73,"Cắt gan"),2)=1,"BS05","BS09"),IF(C73="Tái thùy","BS08",IF(C73="Cắt gan S","BS06",""))))</f>
        <v/>
      </c>
      <c r="E73" s="29">
        <f>XLOOKUP(D73,INPUT!$M$5:$M$10,INPUT!$N$5:$N$10,"")</f>
        <v/>
      </c>
      <c r="F73" s="30" t="n">
        <v>46153</v>
      </c>
      <c r="G73" s="28">
        <f>TEXT(F73,"[$-vi-VN]dddd")</f>
        <v/>
      </c>
      <c r="H73" s="28">
        <f>IF(COUNTIFS(INPUT!$A$5:$A$11,F73,INPUT!$C$5:$C$11,D73)&gt;0,"Bận phòng khám","OK")</f>
        <v/>
      </c>
      <c r="I73" s="28">
        <f>IF(COUNTIF(INPUT!$E$5:$E$11,F73)&gt;0,"Bận họp","OK")</f>
        <v/>
      </c>
      <c r="J73" s="28">
        <f>IF(COUNTIFS(INPUT!$I$5:$I$10,F73,INPUT!$K$5:$K$10,D73)&gt;0,"Bận trực","OK")</f>
        <v/>
      </c>
      <c r="K73" s="28">
        <f>IF(XLOOKUP(D73,INPUT!$M$5:$M$10,INPUT!$O$5:$O$10,"")=C73,"OK","Sai loại PT")</f>
        <v/>
      </c>
      <c r="L73" s="28">
        <f>IF(AND(H73="OK",I73="OK",J73="OK",K73="OK"),"OK","Bận lịch")</f>
        <v/>
      </c>
      <c r="M73" s="28">
        <f>COUNTIF($F$65:$F$100,F73)</f>
        <v/>
      </c>
      <c r="N73" s="28">
        <f>IF(AND(L73="OK",M73&lt;=11),"Đủ điều kiện","Loại")</f>
        <v/>
      </c>
    </row>
    <row r="74">
      <c r="A74" s="28">
        <f>INPUT!Q14</f>
        <v/>
      </c>
      <c r="B74" s="29">
        <f>INPUT!R14</f>
        <v/>
      </c>
      <c r="C74" s="28">
        <f>INPUT!S14</f>
        <v/>
      </c>
      <c r="D74" s="28">
        <f>IF(C74="Ghép gan",IF(MOD(COUNTIF($C$65:C74,"Ghép gan"),2)=1,"BS04","BS02"),IF(C74="Cắt gan",IF(MOD(COUNTIF($C$65:C74,"Cắt gan"),2)=1,"BS05","BS09"),IF(C74="Tái thùy","BS08",IF(C74="Cắt gan S","BS06",""))))</f>
        <v/>
      </c>
      <c r="E74" s="29">
        <f>XLOOKUP(D74,INPUT!$M$5:$M$10,INPUT!$N$5:$N$10,"")</f>
        <v/>
      </c>
      <c r="F74" s="30" t="n">
        <v>46154</v>
      </c>
      <c r="G74" s="28">
        <f>TEXT(F74,"[$-vi-VN]dddd")</f>
        <v/>
      </c>
      <c r="H74" s="28">
        <f>IF(COUNTIFS(INPUT!$A$5:$A$11,F74,INPUT!$C$5:$C$11,D74)&gt;0,"Bận phòng khám","OK")</f>
        <v/>
      </c>
      <c r="I74" s="28">
        <f>IF(COUNTIF(INPUT!$E$5:$E$11,F74)&gt;0,"Bận họp","OK")</f>
        <v/>
      </c>
      <c r="J74" s="28">
        <f>IF(COUNTIFS(INPUT!$I$5:$I$10,F74,INPUT!$K$5:$K$10,D74)&gt;0,"Bận trực","OK")</f>
        <v/>
      </c>
      <c r="K74" s="28">
        <f>IF(XLOOKUP(D74,INPUT!$M$5:$M$10,INPUT!$O$5:$O$10,"")=C74,"OK","Sai loại PT")</f>
        <v/>
      </c>
      <c r="L74" s="28">
        <f>IF(AND(H74="OK",I74="OK",J74="OK",K74="OK"),"OK","Bận lịch")</f>
        <v/>
      </c>
      <c r="M74" s="28">
        <f>COUNTIF($F$65:$F$100,F74)</f>
        <v/>
      </c>
      <c r="N74" s="28">
        <f>IF(AND(L74="OK",M74&lt;=11),"Đủ điều kiện","Loại")</f>
        <v/>
      </c>
    </row>
    <row r="75">
      <c r="A75" s="28">
        <f>INPUT!Q15</f>
        <v/>
      </c>
      <c r="B75" s="29">
        <f>INPUT!R15</f>
        <v/>
      </c>
      <c r="C75" s="28">
        <f>INPUT!S15</f>
        <v/>
      </c>
      <c r="D75" s="28">
        <f>IF(C75="Ghép gan",IF(MOD(COUNTIF($C$65:C75,"Ghép gan"),2)=1,"BS04","BS02"),IF(C75="Cắt gan",IF(MOD(COUNTIF($C$65:C75,"Cắt gan"),2)=1,"BS05","BS09"),IF(C75="Tái thùy","BS08",IF(C75="Cắt gan S","BS06",""))))</f>
        <v/>
      </c>
      <c r="E75" s="29">
        <f>XLOOKUP(D75,INPUT!$M$5:$M$10,INPUT!$N$5:$N$10,"")</f>
        <v/>
      </c>
      <c r="F75" s="30" t="n">
        <v>46155</v>
      </c>
      <c r="G75" s="28">
        <f>TEXT(F75,"[$-vi-VN]dddd")</f>
        <v/>
      </c>
      <c r="H75" s="28">
        <f>IF(COUNTIFS(INPUT!$A$5:$A$11,F75,INPUT!$C$5:$C$11,D75)&gt;0,"Bận phòng khám","OK")</f>
        <v/>
      </c>
      <c r="I75" s="28">
        <f>IF(COUNTIF(INPUT!$E$5:$E$11,F75)&gt;0,"Bận họp","OK")</f>
        <v/>
      </c>
      <c r="J75" s="28">
        <f>IF(COUNTIFS(INPUT!$I$5:$I$10,F75,INPUT!$K$5:$K$10,D75)&gt;0,"Bận trực","OK")</f>
        <v/>
      </c>
      <c r="K75" s="28">
        <f>IF(XLOOKUP(D75,INPUT!$M$5:$M$10,INPUT!$O$5:$O$10,"")=C75,"OK","Sai loại PT")</f>
        <v/>
      </c>
      <c r="L75" s="28">
        <f>IF(AND(H75="OK",I75="OK",J75="OK",K75="OK"),"OK","Bận lịch")</f>
        <v/>
      </c>
      <c r="M75" s="28">
        <f>COUNTIF($F$65:$F$100,F75)</f>
        <v/>
      </c>
      <c r="N75" s="28">
        <f>IF(AND(L75="OK",M75&lt;=11),"Đủ điều kiện","Loại")</f>
        <v/>
      </c>
    </row>
    <row r="76">
      <c r="A76" s="28">
        <f>INPUT!Q16</f>
        <v/>
      </c>
      <c r="B76" s="29">
        <f>INPUT!R16</f>
        <v/>
      </c>
      <c r="C76" s="28">
        <f>INPUT!S16</f>
        <v/>
      </c>
      <c r="D76" s="28">
        <f>IF(C76="Ghép gan",IF(MOD(COUNTIF($C$65:C76,"Ghép gan"),2)=1,"BS04","BS02"),IF(C76="Cắt gan",IF(MOD(COUNTIF($C$65:C76,"Cắt gan"),2)=1,"BS05","BS09"),IF(C76="Tái thùy","BS08",IF(C76="Cắt gan S","BS06",""))))</f>
        <v/>
      </c>
      <c r="E76" s="29">
        <f>XLOOKUP(D76,INPUT!$M$5:$M$10,INPUT!$N$5:$N$10,"")</f>
        <v/>
      </c>
      <c r="F76" s="30" t="n">
        <v>46156</v>
      </c>
      <c r="G76" s="28">
        <f>TEXT(F76,"[$-vi-VN]dddd")</f>
        <v/>
      </c>
      <c r="H76" s="28">
        <f>IF(COUNTIFS(INPUT!$A$5:$A$11,F76,INPUT!$C$5:$C$11,D76)&gt;0,"Bận phòng khám","OK")</f>
        <v/>
      </c>
      <c r="I76" s="28">
        <f>IF(COUNTIF(INPUT!$E$5:$E$11,F76)&gt;0,"Bận họp","OK")</f>
        <v/>
      </c>
      <c r="J76" s="28">
        <f>IF(COUNTIFS(INPUT!$I$5:$I$10,F76,INPUT!$K$5:$K$10,D76)&gt;0,"Bận trực","OK")</f>
        <v/>
      </c>
      <c r="K76" s="28">
        <f>IF(XLOOKUP(D76,INPUT!$M$5:$M$10,INPUT!$O$5:$O$10,"")=C76,"OK","Sai loại PT")</f>
        <v/>
      </c>
      <c r="L76" s="28">
        <f>IF(AND(H76="OK",I76="OK",J76="OK",K76="OK"),"OK","Bận lịch")</f>
        <v/>
      </c>
      <c r="M76" s="28">
        <f>COUNTIF($F$65:$F$100,F76)</f>
        <v/>
      </c>
      <c r="N76" s="28">
        <f>IF(AND(L76="OK",M76&lt;=11),"Đủ điều kiện","Loại")</f>
        <v/>
      </c>
    </row>
    <row r="77">
      <c r="A77" s="28">
        <f>INPUT!Q17</f>
        <v/>
      </c>
      <c r="B77" s="29">
        <f>INPUT!R17</f>
        <v/>
      </c>
      <c r="C77" s="28">
        <f>INPUT!S17</f>
        <v/>
      </c>
      <c r="D77" s="28">
        <f>IF(C77="Ghép gan",IF(MOD(COUNTIF($C$65:C77,"Ghép gan"),2)=1,"BS04","BS02"),IF(C77="Cắt gan",IF(MOD(COUNTIF($C$65:C77,"Cắt gan"),2)=1,"BS05","BS09"),IF(C77="Tái thùy","BS08",IF(C77="Cắt gan S","BS06",""))))</f>
        <v/>
      </c>
      <c r="E77" s="29">
        <f>XLOOKUP(D77,INPUT!$M$5:$M$10,INPUT!$N$5:$N$10,"")</f>
        <v/>
      </c>
      <c r="F77" s="30" t="n">
        <v>46153</v>
      </c>
      <c r="G77" s="28">
        <f>TEXT(F77,"[$-vi-VN]dddd")</f>
        <v/>
      </c>
      <c r="H77" s="28">
        <f>IF(COUNTIFS(INPUT!$A$5:$A$11,F77,INPUT!$C$5:$C$11,D77)&gt;0,"Bận phòng khám","OK")</f>
        <v/>
      </c>
      <c r="I77" s="28">
        <f>IF(COUNTIF(INPUT!$E$5:$E$11,F77)&gt;0,"Bận họp","OK")</f>
        <v/>
      </c>
      <c r="J77" s="28">
        <f>IF(COUNTIFS(INPUT!$I$5:$I$10,F77,INPUT!$K$5:$K$10,D77)&gt;0,"Bận trực","OK")</f>
        <v/>
      </c>
      <c r="K77" s="28">
        <f>IF(XLOOKUP(D77,INPUT!$M$5:$M$10,INPUT!$O$5:$O$10,"")=C77,"OK","Sai loại PT")</f>
        <v/>
      </c>
      <c r="L77" s="28">
        <f>IF(AND(H77="OK",I77="OK",J77="OK",K77="OK"),"OK","Bận lịch")</f>
        <v/>
      </c>
      <c r="M77" s="28">
        <f>COUNTIF($F$65:$F$100,F77)</f>
        <v/>
      </c>
      <c r="N77" s="28">
        <f>IF(AND(L77="OK",M77&lt;=11),"Đủ điều kiện","Loại")</f>
        <v/>
      </c>
    </row>
    <row r="78">
      <c r="A78" s="28">
        <f>INPUT!Q18</f>
        <v/>
      </c>
      <c r="B78" s="29">
        <f>INPUT!R18</f>
        <v/>
      </c>
      <c r="C78" s="28">
        <f>INPUT!S18</f>
        <v/>
      </c>
      <c r="D78" s="28">
        <f>IF(C78="Ghép gan",IF(MOD(COUNTIF($C$65:C78,"Ghép gan"),2)=1,"BS04","BS02"),IF(C78="Cắt gan",IF(MOD(COUNTIF($C$65:C78,"Cắt gan"),2)=1,"BS05","BS09"),IF(C78="Tái thùy","BS08",IF(C78="Cắt gan S","BS06",""))))</f>
        <v/>
      </c>
      <c r="E78" s="29">
        <f>XLOOKUP(D78,INPUT!$M$5:$M$10,INPUT!$N$5:$N$10,"")</f>
        <v/>
      </c>
      <c r="F78" s="30" t="n">
        <v>46154</v>
      </c>
      <c r="G78" s="28">
        <f>TEXT(F78,"[$-vi-VN]dddd")</f>
        <v/>
      </c>
      <c r="H78" s="28">
        <f>IF(COUNTIFS(INPUT!$A$5:$A$11,F78,INPUT!$C$5:$C$11,D78)&gt;0,"Bận phòng khám","OK")</f>
        <v/>
      </c>
      <c r="I78" s="28">
        <f>IF(COUNTIF(INPUT!$E$5:$E$11,F78)&gt;0,"Bận họp","OK")</f>
        <v/>
      </c>
      <c r="J78" s="28">
        <f>IF(COUNTIFS(INPUT!$I$5:$I$10,F78,INPUT!$K$5:$K$10,D78)&gt;0,"Bận trực","OK")</f>
        <v/>
      </c>
      <c r="K78" s="28">
        <f>IF(XLOOKUP(D78,INPUT!$M$5:$M$10,INPUT!$O$5:$O$10,"")=C78,"OK","Sai loại PT")</f>
        <v/>
      </c>
      <c r="L78" s="28">
        <f>IF(AND(H78="OK",I78="OK",J78="OK",K78="OK"),"OK","Bận lịch")</f>
        <v/>
      </c>
      <c r="M78" s="28">
        <f>COUNTIF($F$65:$F$100,F78)</f>
        <v/>
      </c>
      <c r="N78" s="28">
        <f>IF(AND(L78="OK",M78&lt;=11),"Đủ điều kiện","Loại")</f>
        <v/>
      </c>
    </row>
    <row r="79">
      <c r="A79" s="28">
        <f>INPUT!Q19</f>
        <v/>
      </c>
      <c r="B79" s="29">
        <f>INPUT!R19</f>
        <v/>
      </c>
      <c r="C79" s="28">
        <f>INPUT!S19</f>
        <v/>
      </c>
      <c r="D79" s="28">
        <f>IF(C79="Ghép gan",IF(MOD(COUNTIF($C$65:C79,"Ghép gan"),2)=1,"BS04","BS02"),IF(C79="Cắt gan",IF(MOD(COUNTIF($C$65:C79,"Cắt gan"),2)=1,"BS05","BS09"),IF(C79="Tái thùy","BS08",IF(C79="Cắt gan S","BS06",""))))</f>
        <v/>
      </c>
      <c r="E79" s="29">
        <f>XLOOKUP(D79,INPUT!$M$5:$M$10,INPUT!$N$5:$N$10,"")</f>
        <v/>
      </c>
      <c r="F79" s="30" t="n">
        <v>46155</v>
      </c>
      <c r="G79" s="28">
        <f>TEXT(F79,"[$-vi-VN]dddd")</f>
        <v/>
      </c>
      <c r="H79" s="28">
        <f>IF(COUNTIFS(INPUT!$A$5:$A$11,F79,INPUT!$C$5:$C$11,D79)&gt;0,"Bận phòng khám","OK")</f>
        <v/>
      </c>
      <c r="I79" s="28">
        <f>IF(COUNTIF(INPUT!$E$5:$E$11,F79)&gt;0,"Bận họp","OK")</f>
        <v/>
      </c>
      <c r="J79" s="28">
        <f>IF(COUNTIFS(INPUT!$I$5:$I$10,F79,INPUT!$K$5:$K$10,D79)&gt;0,"Bận trực","OK")</f>
        <v/>
      </c>
      <c r="K79" s="28">
        <f>IF(XLOOKUP(D79,INPUT!$M$5:$M$10,INPUT!$O$5:$O$10,"")=C79,"OK","Sai loại PT")</f>
        <v/>
      </c>
      <c r="L79" s="28">
        <f>IF(AND(H79="OK",I79="OK",J79="OK",K79="OK"),"OK","Bận lịch")</f>
        <v/>
      </c>
      <c r="M79" s="28">
        <f>COUNTIF($F$65:$F$100,F79)</f>
        <v/>
      </c>
      <c r="N79" s="28">
        <f>IF(AND(L79="OK",M79&lt;=11),"Đủ điều kiện","Loại")</f>
        <v/>
      </c>
    </row>
    <row r="80">
      <c r="A80" s="28">
        <f>INPUT!Q20</f>
        <v/>
      </c>
      <c r="B80" s="29">
        <f>INPUT!R20</f>
        <v/>
      </c>
      <c r="C80" s="28">
        <f>INPUT!S20</f>
        <v/>
      </c>
      <c r="D80" s="28">
        <f>IF(C80="Ghép gan",IF(MOD(COUNTIF($C$65:C80,"Ghép gan"),2)=1,"BS04","BS02"),IF(C80="Cắt gan",IF(MOD(COUNTIF($C$65:C80,"Cắt gan"),2)=1,"BS05","BS09"),IF(C80="Tái thùy","BS08",IF(C80="Cắt gan S","BS06",""))))</f>
        <v/>
      </c>
      <c r="E80" s="29">
        <f>XLOOKUP(D80,INPUT!$M$5:$M$10,INPUT!$N$5:$N$10,"")</f>
        <v/>
      </c>
      <c r="F80" s="30" t="n">
        <v>46156</v>
      </c>
      <c r="G80" s="28">
        <f>TEXT(F80,"[$-vi-VN]dddd")</f>
        <v/>
      </c>
      <c r="H80" s="28">
        <f>IF(COUNTIFS(INPUT!$A$5:$A$11,F80,INPUT!$C$5:$C$11,D80)&gt;0,"Bận phòng khám","OK")</f>
        <v/>
      </c>
      <c r="I80" s="28">
        <f>IF(COUNTIF(INPUT!$E$5:$E$11,F80)&gt;0,"Bận họp","OK")</f>
        <v/>
      </c>
      <c r="J80" s="28">
        <f>IF(COUNTIFS(INPUT!$I$5:$I$10,F80,INPUT!$K$5:$K$10,D80)&gt;0,"Bận trực","OK")</f>
        <v/>
      </c>
      <c r="K80" s="28">
        <f>IF(XLOOKUP(D80,INPUT!$M$5:$M$10,INPUT!$O$5:$O$10,"")=C80,"OK","Sai loại PT")</f>
        <v/>
      </c>
      <c r="L80" s="28">
        <f>IF(AND(H80="OK",I80="OK",J80="OK",K80="OK"),"OK","Bận lịch")</f>
        <v/>
      </c>
      <c r="M80" s="28">
        <f>COUNTIF($F$65:$F$100,F80)</f>
        <v/>
      </c>
      <c r="N80" s="28">
        <f>IF(AND(L80="OK",M80&lt;=11),"Đủ điều kiện","Loại")</f>
        <v/>
      </c>
    </row>
    <row r="81">
      <c r="A81" s="28">
        <f>INPUT!Q21</f>
        <v/>
      </c>
      <c r="B81" s="29">
        <f>INPUT!R21</f>
        <v/>
      </c>
      <c r="C81" s="28">
        <f>INPUT!S21</f>
        <v/>
      </c>
      <c r="D81" s="28">
        <f>IF(C81="Ghép gan",IF(MOD(COUNTIF($C$65:C81,"Ghép gan"),2)=1,"BS04","BS02"),IF(C81="Cắt gan",IF(MOD(COUNTIF($C$65:C81,"Cắt gan"),2)=1,"BS05","BS09"),IF(C81="Tái thùy","BS08",IF(C81="Cắt gan S","BS06",""))))</f>
        <v/>
      </c>
      <c r="E81" s="29">
        <f>XLOOKUP(D81,INPUT!$M$5:$M$10,INPUT!$N$5:$N$10,"")</f>
        <v/>
      </c>
      <c r="F81" s="30" t="n">
        <v>46153</v>
      </c>
      <c r="G81" s="28">
        <f>TEXT(F81,"[$-vi-VN]dddd")</f>
        <v/>
      </c>
      <c r="H81" s="28">
        <f>IF(COUNTIFS(INPUT!$A$5:$A$11,F81,INPUT!$C$5:$C$11,D81)&gt;0,"Bận phòng khám","OK")</f>
        <v/>
      </c>
      <c r="I81" s="28">
        <f>IF(COUNTIF(INPUT!$E$5:$E$11,F81)&gt;0,"Bận họp","OK")</f>
        <v/>
      </c>
      <c r="J81" s="28">
        <f>IF(COUNTIFS(INPUT!$I$5:$I$10,F81,INPUT!$K$5:$K$10,D81)&gt;0,"Bận trực","OK")</f>
        <v/>
      </c>
      <c r="K81" s="28">
        <f>IF(XLOOKUP(D81,INPUT!$M$5:$M$10,INPUT!$O$5:$O$10,"")=C81,"OK","Sai loại PT")</f>
        <v/>
      </c>
      <c r="L81" s="28">
        <f>IF(AND(H81="OK",I81="OK",J81="OK",K81="OK"),"OK","Bận lịch")</f>
        <v/>
      </c>
      <c r="M81" s="28">
        <f>COUNTIF($F$65:$F$100,F81)</f>
        <v/>
      </c>
      <c r="N81" s="28">
        <f>IF(AND(L81="OK",M81&lt;=11),"Đủ điều kiện","Loại")</f>
        <v/>
      </c>
    </row>
    <row r="82">
      <c r="A82" s="28">
        <f>INPUT!Q22</f>
        <v/>
      </c>
      <c r="B82" s="29">
        <f>INPUT!R22</f>
        <v/>
      </c>
      <c r="C82" s="28">
        <f>INPUT!S22</f>
        <v/>
      </c>
      <c r="D82" s="28">
        <f>IF(C82="Ghép gan",IF(MOD(COUNTIF($C$65:C82,"Ghép gan"),2)=1,"BS04","BS02"),IF(C82="Cắt gan",IF(MOD(COUNTIF($C$65:C82,"Cắt gan"),2)=1,"BS05","BS09"),IF(C82="Tái thùy","BS08",IF(C82="Cắt gan S","BS06",""))))</f>
        <v/>
      </c>
      <c r="E82" s="29">
        <f>XLOOKUP(D82,INPUT!$M$5:$M$10,INPUT!$N$5:$N$10,"")</f>
        <v/>
      </c>
      <c r="F82" s="30" t="n">
        <v>46154</v>
      </c>
      <c r="G82" s="28">
        <f>TEXT(F82,"[$-vi-VN]dddd")</f>
        <v/>
      </c>
      <c r="H82" s="28">
        <f>IF(COUNTIFS(INPUT!$A$5:$A$11,F82,INPUT!$C$5:$C$11,D82)&gt;0,"Bận phòng khám","OK")</f>
        <v/>
      </c>
      <c r="I82" s="28">
        <f>IF(COUNTIF(INPUT!$E$5:$E$11,F82)&gt;0,"Bận họp","OK")</f>
        <v/>
      </c>
      <c r="J82" s="28">
        <f>IF(COUNTIFS(INPUT!$I$5:$I$10,F82,INPUT!$K$5:$K$10,D82)&gt;0,"Bận trực","OK")</f>
        <v/>
      </c>
      <c r="K82" s="28">
        <f>IF(XLOOKUP(D82,INPUT!$M$5:$M$10,INPUT!$O$5:$O$10,"")=C82,"OK","Sai loại PT")</f>
        <v/>
      </c>
      <c r="L82" s="28">
        <f>IF(AND(H82="OK",I82="OK",J82="OK",K82="OK"),"OK","Bận lịch")</f>
        <v/>
      </c>
      <c r="M82" s="28">
        <f>COUNTIF($F$65:$F$100,F82)</f>
        <v/>
      </c>
      <c r="N82" s="28">
        <f>IF(AND(L82="OK",M82&lt;=11),"Đủ điều kiện","Loại")</f>
        <v/>
      </c>
    </row>
    <row r="83">
      <c r="A83" s="28">
        <f>INPUT!Q23</f>
        <v/>
      </c>
      <c r="B83" s="29">
        <f>INPUT!R23</f>
        <v/>
      </c>
      <c r="C83" s="28">
        <f>INPUT!S23</f>
        <v/>
      </c>
      <c r="D83" s="28">
        <f>IF(C83="Ghép gan",IF(MOD(COUNTIF($C$65:C83,"Ghép gan"),2)=1,"BS04","BS02"),IF(C83="Cắt gan",IF(MOD(COUNTIF($C$65:C83,"Cắt gan"),2)=1,"BS05","BS09"),IF(C83="Tái thùy","BS08",IF(C83="Cắt gan S","BS06",""))))</f>
        <v/>
      </c>
      <c r="E83" s="29">
        <f>XLOOKUP(D83,INPUT!$M$5:$M$10,INPUT!$N$5:$N$10,"")</f>
        <v/>
      </c>
      <c r="F83" s="30" t="n">
        <v>46155</v>
      </c>
      <c r="G83" s="28">
        <f>TEXT(F83,"[$-vi-VN]dddd")</f>
        <v/>
      </c>
      <c r="H83" s="28">
        <f>IF(COUNTIFS(INPUT!$A$5:$A$11,F83,INPUT!$C$5:$C$11,D83)&gt;0,"Bận phòng khám","OK")</f>
        <v/>
      </c>
      <c r="I83" s="28">
        <f>IF(COUNTIF(INPUT!$E$5:$E$11,F83)&gt;0,"Bận họp","OK")</f>
        <v/>
      </c>
      <c r="J83" s="28">
        <f>IF(COUNTIFS(INPUT!$I$5:$I$10,F83,INPUT!$K$5:$K$10,D83)&gt;0,"Bận trực","OK")</f>
        <v/>
      </c>
      <c r="K83" s="28">
        <f>IF(XLOOKUP(D83,INPUT!$M$5:$M$10,INPUT!$O$5:$O$10,"")=C83,"OK","Sai loại PT")</f>
        <v/>
      </c>
      <c r="L83" s="28">
        <f>IF(AND(H83="OK",I83="OK",J83="OK",K83="OK"),"OK","Bận lịch")</f>
        <v/>
      </c>
      <c r="M83" s="28">
        <f>COUNTIF($F$65:$F$100,F83)</f>
        <v/>
      </c>
      <c r="N83" s="28">
        <f>IF(AND(L83="OK",M83&lt;=11),"Đủ điều kiện","Loại")</f>
        <v/>
      </c>
    </row>
    <row r="84">
      <c r="A84" s="28">
        <f>INPUT!Q24</f>
        <v/>
      </c>
      <c r="B84" s="29">
        <f>INPUT!R24</f>
        <v/>
      </c>
      <c r="C84" s="28">
        <f>INPUT!S24</f>
        <v/>
      </c>
      <c r="D84" s="28">
        <f>IF(C84="Ghép gan",IF(MOD(COUNTIF($C$65:C84,"Ghép gan"),2)=1,"BS04","BS02"),IF(C84="Cắt gan",IF(MOD(COUNTIF($C$65:C84,"Cắt gan"),2)=1,"BS05","BS09"),IF(C84="Tái thùy","BS08",IF(C84="Cắt gan S","BS06",""))))</f>
        <v/>
      </c>
      <c r="E84" s="29">
        <f>XLOOKUP(D84,INPUT!$M$5:$M$10,INPUT!$N$5:$N$10,"")</f>
        <v/>
      </c>
      <c r="F84" s="30" t="n">
        <v>46156</v>
      </c>
      <c r="G84" s="28">
        <f>TEXT(F84,"[$-vi-VN]dddd")</f>
        <v/>
      </c>
      <c r="H84" s="28">
        <f>IF(COUNTIFS(INPUT!$A$5:$A$11,F84,INPUT!$C$5:$C$11,D84)&gt;0,"Bận phòng khám","OK")</f>
        <v/>
      </c>
      <c r="I84" s="28">
        <f>IF(COUNTIF(INPUT!$E$5:$E$11,F84)&gt;0,"Bận họp","OK")</f>
        <v/>
      </c>
      <c r="J84" s="28">
        <f>IF(COUNTIFS(INPUT!$I$5:$I$10,F84,INPUT!$K$5:$K$10,D84)&gt;0,"Bận trực","OK")</f>
        <v/>
      </c>
      <c r="K84" s="28">
        <f>IF(XLOOKUP(D84,INPUT!$M$5:$M$10,INPUT!$O$5:$O$10,"")=C84,"OK","Sai loại PT")</f>
        <v/>
      </c>
      <c r="L84" s="28">
        <f>IF(AND(H84="OK",I84="OK",J84="OK",K84="OK"),"OK","Bận lịch")</f>
        <v/>
      </c>
      <c r="M84" s="28">
        <f>COUNTIF($F$65:$F$100,F84)</f>
        <v/>
      </c>
      <c r="N84" s="28">
        <f>IF(AND(L84="OK",M84&lt;=11),"Đủ điều kiện","Loại")</f>
        <v/>
      </c>
    </row>
    <row r="85">
      <c r="A85" s="28">
        <f>INPUT!Q25</f>
        <v/>
      </c>
      <c r="B85" s="29">
        <f>INPUT!R25</f>
        <v/>
      </c>
      <c r="C85" s="28">
        <f>INPUT!S25</f>
        <v/>
      </c>
      <c r="D85" s="28">
        <f>IF(C85="Ghép gan",IF(MOD(COUNTIF($C$65:C85,"Ghép gan"),2)=1,"BS04","BS02"),IF(C85="Cắt gan",IF(MOD(COUNTIF($C$65:C85,"Cắt gan"),2)=1,"BS05","BS09"),IF(C85="Tái thùy","BS08",IF(C85="Cắt gan S","BS06",""))))</f>
        <v/>
      </c>
      <c r="E85" s="29">
        <f>XLOOKUP(D85,INPUT!$M$5:$M$10,INPUT!$N$5:$N$10,"")</f>
        <v/>
      </c>
      <c r="F85" s="30" t="n">
        <v>46153</v>
      </c>
      <c r="G85" s="28">
        <f>TEXT(F85,"[$-vi-VN]dddd")</f>
        <v/>
      </c>
      <c r="H85" s="28">
        <f>IF(COUNTIFS(INPUT!$A$5:$A$11,F85,INPUT!$C$5:$C$11,D85)&gt;0,"Bận phòng khám","OK")</f>
        <v/>
      </c>
      <c r="I85" s="28">
        <f>IF(COUNTIF(INPUT!$E$5:$E$11,F85)&gt;0,"Bận họp","OK")</f>
        <v/>
      </c>
      <c r="J85" s="28">
        <f>IF(COUNTIFS(INPUT!$I$5:$I$10,F85,INPUT!$K$5:$K$10,D85)&gt;0,"Bận trực","OK")</f>
        <v/>
      </c>
      <c r="K85" s="28">
        <f>IF(XLOOKUP(D85,INPUT!$M$5:$M$10,INPUT!$O$5:$O$10,"")=C85,"OK","Sai loại PT")</f>
        <v/>
      </c>
      <c r="L85" s="28">
        <f>IF(AND(H85="OK",I85="OK",J85="OK",K85="OK"),"OK","Bận lịch")</f>
        <v/>
      </c>
      <c r="M85" s="28">
        <f>COUNTIF($F$65:$F$100,F85)</f>
        <v/>
      </c>
      <c r="N85" s="28">
        <f>IF(AND(L85="OK",M85&lt;=11),"Đủ điều kiện","Loại")</f>
        <v/>
      </c>
    </row>
    <row r="86">
      <c r="A86" s="28">
        <f>INPUT!Q26</f>
        <v/>
      </c>
      <c r="B86" s="29">
        <f>INPUT!R26</f>
        <v/>
      </c>
      <c r="C86" s="28">
        <f>INPUT!S26</f>
        <v/>
      </c>
      <c r="D86" s="28">
        <f>IF(C86="Ghép gan",IF(MOD(COUNTIF($C$65:C86,"Ghép gan"),2)=1,"BS04","BS02"),IF(C86="Cắt gan",IF(MOD(COUNTIF($C$65:C86,"Cắt gan"),2)=1,"BS05","BS09"),IF(C86="Tái thùy","BS08",IF(C86="Cắt gan S","BS06",""))))</f>
        <v/>
      </c>
      <c r="E86" s="29">
        <f>XLOOKUP(D86,INPUT!$M$5:$M$10,INPUT!$N$5:$N$10,"")</f>
        <v/>
      </c>
      <c r="F86" s="30" t="n">
        <v>46154</v>
      </c>
      <c r="G86" s="28">
        <f>TEXT(F86,"[$-vi-VN]dddd")</f>
        <v/>
      </c>
      <c r="H86" s="28">
        <f>IF(COUNTIFS(INPUT!$A$5:$A$11,F86,INPUT!$C$5:$C$11,D86)&gt;0,"Bận phòng khám","OK")</f>
        <v/>
      </c>
      <c r="I86" s="28">
        <f>IF(COUNTIF(INPUT!$E$5:$E$11,F86)&gt;0,"Bận họp","OK")</f>
        <v/>
      </c>
      <c r="J86" s="28">
        <f>IF(COUNTIFS(INPUT!$I$5:$I$10,F86,INPUT!$K$5:$K$10,D86)&gt;0,"Bận trực","OK")</f>
        <v/>
      </c>
      <c r="K86" s="28">
        <f>IF(XLOOKUP(D86,INPUT!$M$5:$M$10,INPUT!$O$5:$O$10,"")=C86,"OK","Sai loại PT")</f>
        <v/>
      </c>
      <c r="L86" s="28">
        <f>IF(AND(H86="OK",I86="OK",J86="OK",K86="OK"),"OK","Bận lịch")</f>
        <v/>
      </c>
      <c r="M86" s="28">
        <f>COUNTIF($F$65:$F$100,F86)</f>
        <v/>
      </c>
      <c r="N86" s="28">
        <f>IF(AND(L86="OK",M86&lt;=11),"Đủ điều kiện","Loại")</f>
        <v/>
      </c>
    </row>
    <row r="87">
      <c r="A87" s="28">
        <f>INPUT!Q27</f>
        <v/>
      </c>
      <c r="B87" s="29">
        <f>INPUT!R27</f>
        <v/>
      </c>
      <c r="C87" s="28">
        <f>INPUT!S27</f>
        <v/>
      </c>
      <c r="D87" s="28">
        <f>IF(C87="Ghép gan",IF(MOD(COUNTIF($C$65:C87,"Ghép gan"),2)=1,"BS04","BS02"),IF(C87="Cắt gan",IF(MOD(COUNTIF($C$65:C87,"Cắt gan"),2)=1,"BS05","BS09"),IF(C87="Tái thùy","BS08",IF(C87="Cắt gan S","BS06",""))))</f>
        <v/>
      </c>
      <c r="E87" s="29">
        <f>XLOOKUP(D87,INPUT!$M$5:$M$10,INPUT!$N$5:$N$10,"")</f>
        <v/>
      </c>
      <c r="F87" s="30" t="n">
        <v>46155</v>
      </c>
      <c r="G87" s="28">
        <f>TEXT(F87,"[$-vi-VN]dddd")</f>
        <v/>
      </c>
      <c r="H87" s="28">
        <f>IF(COUNTIFS(INPUT!$A$5:$A$11,F87,INPUT!$C$5:$C$11,D87)&gt;0,"Bận phòng khám","OK")</f>
        <v/>
      </c>
      <c r="I87" s="28">
        <f>IF(COUNTIF(INPUT!$E$5:$E$11,F87)&gt;0,"Bận họp","OK")</f>
        <v/>
      </c>
      <c r="J87" s="28">
        <f>IF(COUNTIFS(INPUT!$I$5:$I$10,F87,INPUT!$K$5:$K$10,D87)&gt;0,"Bận trực","OK")</f>
        <v/>
      </c>
      <c r="K87" s="28">
        <f>IF(XLOOKUP(D87,INPUT!$M$5:$M$10,INPUT!$O$5:$O$10,"")=C87,"OK","Sai loại PT")</f>
        <v/>
      </c>
      <c r="L87" s="28">
        <f>IF(AND(H87="OK",I87="OK",J87="OK",K87="OK"),"OK","Bận lịch")</f>
        <v/>
      </c>
      <c r="M87" s="28">
        <f>COUNTIF($F$65:$F$100,F87)</f>
        <v/>
      </c>
      <c r="N87" s="28">
        <f>IF(AND(L87="OK",M87&lt;=11),"Đủ điều kiện","Loại")</f>
        <v/>
      </c>
    </row>
    <row r="88">
      <c r="A88" s="28">
        <f>INPUT!Q28</f>
        <v/>
      </c>
      <c r="B88" s="29">
        <f>INPUT!R28</f>
        <v/>
      </c>
      <c r="C88" s="28">
        <f>INPUT!S28</f>
        <v/>
      </c>
      <c r="D88" s="28">
        <f>IF(C88="Ghép gan",IF(MOD(COUNTIF($C$65:C88,"Ghép gan"),2)=1,"BS04","BS02"),IF(C88="Cắt gan",IF(MOD(COUNTIF($C$65:C88,"Cắt gan"),2)=1,"BS05","BS09"),IF(C88="Tái thùy","BS08",IF(C88="Cắt gan S","BS06",""))))</f>
        <v/>
      </c>
      <c r="E88" s="29">
        <f>XLOOKUP(D88,INPUT!$M$5:$M$10,INPUT!$N$5:$N$10,"")</f>
        <v/>
      </c>
      <c r="F88" s="30" t="n">
        <v>46156</v>
      </c>
      <c r="G88" s="28">
        <f>TEXT(F88,"[$-vi-VN]dddd")</f>
        <v/>
      </c>
      <c r="H88" s="28">
        <f>IF(COUNTIFS(INPUT!$A$5:$A$11,F88,INPUT!$C$5:$C$11,D88)&gt;0,"Bận phòng khám","OK")</f>
        <v/>
      </c>
      <c r="I88" s="28">
        <f>IF(COUNTIF(INPUT!$E$5:$E$11,F88)&gt;0,"Bận họp","OK")</f>
        <v/>
      </c>
      <c r="J88" s="28">
        <f>IF(COUNTIFS(INPUT!$I$5:$I$10,F88,INPUT!$K$5:$K$10,D88)&gt;0,"Bận trực","OK")</f>
        <v/>
      </c>
      <c r="K88" s="28">
        <f>IF(XLOOKUP(D88,INPUT!$M$5:$M$10,INPUT!$O$5:$O$10,"")=C88,"OK","Sai loại PT")</f>
        <v/>
      </c>
      <c r="L88" s="28">
        <f>IF(AND(H88="OK",I88="OK",J88="OK",K88="OK"),"OK","Bận lịch")</f>
        <v/>
      </c>
      <c r="M88" s="28">
        <f>COUNTIF($F$65:$F$100,F88)</f>
        <v/>
      </c>
      <c r="N88" s="28">
        <f>IF(AND(L88="OK",M88&lt;=11),"Đủ điều kiện","Loại")</f>
        <v/>
      </c>
    </row>
    <row r="89">
      <c r="A89" s="28">
        <f>INPUT!Q29</f>
        <v/>
      </c>
      <c r="B89" s="29">
        <f>INPUT!R29</f>
        <v/>
      </c>
      <c r="C89" s="28">
        <f>INPUT!S29</f>
        <v/>
      </c>
      <c r="D89" s="28">
        <f>IF(C89="Ghép gan",IF(MOD(COUNTIF($C$65:C89,"Ghép gan"),2)=1,"BS04","BS02"),IF(C89="Cắt gan",IF(MOD(COUNTIF($C$65:C89,"Cắt gan"),2)=1,"BS05","BS09"),IF(C89="Tái thùy","BS08",IF(C89="Cắt gan S","BS06",""))))</f>
        <v/>
      </c>
      <c r="E89" s="29">
        <f>XLOOKUP(D89,INPUT!$M$5:$M$10,INPUT!$N$5:$N$10,"")</f>
        <v/>
      </c>
      <c r="F89" s="30" t="n">
        <v>46153</v>
      </c>
      <c r="G89" s="28">
        <f>TEXT(F89,"[$-vi-VN]dddd")</f>
        <v/>
      </c>
      <c r="H89" s="28">
        <f>IF(COUNTIFS(INPUT!$A$5:$A$11,F89,INPUT!$C$5:$C$11,D89)&gt;0,"Bận phòng khám","OK")</f>
        <v/>
      </c>
      <c r="I89" s="28">
        <f>IF(COUNTIF(INPUT!$E$5:$E$11,F89)&gt;0,"Bận họp","OK")</f>
        <v/>
      </c>
      <c r="J89" s="28">
        <f>IF(COUNTIFS(INPUT!$I$5:$I$10,F89,INPUT!$K$5:$K$10,D89)&gt;0,"Bận trực","OK")</f>
        <v/>
      </c>
      <c r="K89" s="28">
        <f>IF(XLOOKUP(D89,INPUT!$M$5:$M$10,INPUT!$O$5:$O$10,"")=C89,"OK","Sai loại PT")</f>
        <v/>
      </c>
      <c r="L89" s="28">
        <f>IF(AND(H89="OK",I89="OK",J89="OK",K89="OK"),"OK","Bận lịch")</f>
        <v/>
      </c>
      <c r="M89" s="28">
        <f>COUNTIF($F$65:$F$100,F89)</f>
        <v/>
      </c>
      <c r="N89" s="28">
        <f>IF(AND(L89="OK",M89&lt;=11),"Đủ điều kiện","Loại")</f>
        <v/>
      </c>
    </row>
    <row r="90">
      <c r="A90" s="28">
        <f>INPUT!Q30</f>
        <v/>
      </c>
      <c r="B90" s="29">
        <f>INPUT!R30</f>
        <v/>
      </c>
      <c r="C90" s="28">
        <f>INPUT!S30</f>
        <v/>
      </c>
      <c r="D90" s="28">
        <f>IF(C90="Ghép gan",IF(MOD(COUNTIF($C$65:C90,"Ghép gan"),2)=1,"BS04","BS02"),IF(C90="Cắt gan",IF(MOD(COUNTIF($C$65:C90,"Cắt gan"),2)=1,"BS05","BS09"),IF(C90="Tái thùy","BS08",IF(C90="Cắt gan S","BS06",""))))</f>
        <v/>
      </c>
      <c r="E90" s="29">
        <f>XLOOKUP(D90,INPUT!$M$5:$M$10,INPUT!$N$5:$N$10,"")</f>
        <v/>
      </c>
      <c r="F90" s="30" t="n">
        <v>46154</v>
      </c>
      <c r="G90" s="28">
        <f>TEXT(F90,"[$-vi-VN]dddd")</f>
        <v/>
      </c>
      <c r="H90" s="28">
        <f>IF(COUNTIFS(INPUT!$A$5:$A$11,F90,INPUT!$C$5:$C$11,D90)&gt;0,"Bận phòng khám","OK")</f>
        <v/>
      </c>
      <c r="I90" s="28">
        <f>IF(COUNTIF(INPUT!$E$5:$E$11,F90)&gt;0,"Bận họp","OK")</f>
        <v/>
      </c>
      <c r="J90" s="28">
        <f>IF(COUNTIFS(INPUT!$I$5:$I$10,F90,INPUT!$K$5:$K$10,D90)&gt;0,"Bận trực","OK")</f>
        <v/>
      </c>
      <c r="K90" s="28">
        <f>IF(XLOOKUP(D90,INPUT!$M$5:$M$10,INPUT!$O$5:$O$10,"")=C90,"OK","Sai loại PT")</f>
        <v/>
      </c>
      <c r="L90" s="28">
        <f>IF(AND(H90="OK",I90="OK",J90="OK",K90="OK"),"OK","Bận lịch")</f>
        <v/>
      </c>
      <c r="M90" s="28">
        <f>COUNTIF($F$65:$F$100,F90)</f>
        <v/>
      </c>
      <c r="N90" s="28">
        <f>IF(AND(L90="OK",M90&lt;=11),"Đủ điều kiện","Loại")</f>
        <v/>
      </c>
    </row>
    <row r="91">
      <c r="A91" s="28">
        <f>INPUT!Q31</f>
        <v/>
      </c>
      <c r="B91" s="29">
        <f>INPUT!R31</f>
        <v/>
      </c>
      <c r="C91" s="28">
        <f>INPUT!S31</f>
        <v/>
      </c>
      <c r="D91" s="28">
        <f>IF(C91="Ghép gan",IF(MOD(COUNTIF($C$65:C91,"Ghép gan"),2)=1,"BS04","BS02"),IF(C91="Cắt gan",IF(MOD(COUNTIF($C$65:C91,"Cắt gan"),2)=1,"BS05","BS09"),IF(C91="Tái thùy","BS08",IF(C91="Cắt gan S","BS06",""))))</f>
        <v/>
      </c>
      <c r="E91" s="29">
        <f>XLOOKUP(D91,INPUT!$M$5:$M$10,INPUT!$N$5:$N$10,"")</f>
        <v/>
      </c>
      <c r="F91" s="30" t="n">
        <v>46155</v>
      </c>
      <c r="G91" s="28">
        <f>TEXT(F91,"[$-vi-VN]dddd")</f>
        <v/>
      </c>
      <c r="H91" s="28">
        <f>IF(COUNTIFS(INPUT!$A$5:$A$11,F91,INPUT!$C$5:$C$11,D91)&gt;0,"Bận phòng khám","OK")</f>
        <v/>
      </c>
      <c r="I91" s="28">
        <f>IF(COUNTIF(INPUT!$E$5:$E$11,F91)&gt;0,"Bận họp","OK")</f>
        <v/>
      </c>
      <c r="J91" s="28">
        <f>IF(COUNTIFS(INPUT!$I$5:$I$10,F91,INPUT!$K$5:$K$10,D91)&gt;0,"Bận trực","OK")</f>
        <v/>
      </c>
      <c r="K91" s="28">
        <f>IF(XLOOKUP(D91,INPUT!$M$5:$M$10,INPUT!$O$5:$O$10,"")=C91,"OK","Sai loại PT")</f>
        <v/>
      </c>
      <c r="L91" s="28">
        <f>IF(AND(H91="OK",I91="OK",J91="OK",K91="OK"),"OK","Bận lịch")</f>
        <v/>
      </c>
      <c r="M91" s="28">
        <f>COUNTIF($F$65:$F$100,F91)</f>
        <v/>
      </c>
      <c r="N91" s="28">
        <f>IF(AND(L91="OK",M91&lt;=11),"Đủ điều kiện","Loại")</f>
        <v/>
      </c>
    </row>
    <row r="92">
      <c r="A92" s="28">
        <f>INPUT!Q32</f>
        <v/>
      </c>
      <c r="B92" s="29">
        <f>INPUT!R32</f>
        <v/>
      </c>
      <c r="C92" s="28">
        <f>INPUT!S32</f>
        <v/>
      </c>
      <c r="D92" s="28">
        <f>IF(C92="Ghép gan",IF(MOD(COUNTIF($C$65:C92,"Ghép gan"),2)=1,"BS04","BS02"),IF(C92="Cắt gan",IF(MOD(COUNTIF($C$65:C92,"Cắt gan"),2)=1,"BS05","BS09"),IF(C92="Tái thùy","BS08",IF(C92="Cắt gan S","BS06",""))))</f>
        <v/>
      </c>
      <c r="E92" s="29">
        <f>XLOOKUP(D92,INPUT!$M$5:$M$10,INPUT!$N$5:$N$10,"")</f>
        <v/>
      </c>
      <c r="F92" s="30" t="n">
        <v>46156</v>
      </c>
      <c r="G92" s="28">
        <f>TEXT(F92,"[$-vi-VN]dddd")</f>
        <v/>
      </c>
      <c r="H92" s="28">
        <f>IF(COUNTIFS(INPUT!$A$5:$A$11,F92,INPUT!$C$5:$C$11,D92)&gt;0,"Bận phòng khám","OK")</f>
        <v/>
      </c>
      <c r="I92" s="28">
        <f>IF(COUNTIF(INPUT!$E$5:$E$11,F92)&gt;0,"Bận họp","OK")</f>
        <v/>
      </c>
      <c r="J92" s="28">
        <f>IF(COUNTIFS(INPUT!$I$5:$I$10,F92,INPUT!$K$5:$K$10,D92)&gt;0,"Bận trực","OK")</f>
        <v/>
      </c>
      <c r="K92" s="28">
        <f>IF(XLOOKUP(D92,INPUT!$M$5:$M$10,INPUT!$O$5:$O$10,"")=C92,"OK","Sai loại PT")</f>
        <v/>
      </c>
      <c r="L92" s="28">
        <f>IF(AND(H92="OK",I92="OK",J92="OK",K92="OK"),"OK","Bận lịch")</f>
        <v/>
      </c>
      <c r="M92" s="28">
        <f>COUNTIF($F$65:$F$100,F92)</f>
        <v/>
      </c>
      <c r="N92" s="28">
        <f>IF(AND(L92="OK",M92&lt;=11),"Đủ điều kiện","Loại")</f>
        <v/>
      </c>
    </row>
    <row r="93">
      <c r="A93" s="28">
        <f>INPUT!Q33</f>
        <v/>
      </c>
      <c r="B93" s="29">
        <f>INPUT!R33</f>
        <v/>
      </c>
      <c r="C93" s="28">
        <f>INPUT!S33</f>
        <v/>
      </c>
      <c r="D93" s="28">
        <f>IF(C93="Ghép gan",IF(MOD(COUNTIF($C$65:C93,"Ghép gan"),2)=1,"BS04","BS02"),IF(C93="Cắt gan",IF(MOD(COUNTIF($C$65:C93,"Cắt gan"),2)=1,"BS05","BS09"),IF(C93="Tái thùy","BS08",IF(C93="Cắt gan S","BS06",""))))</f>
        <v/>
      </c>
      <c r="E93" s="29">
        <f>XLOOKUP(D93,INPUT!$M$5:$M$10,INPUT!$N$5:$N$10,"")</f>
        <v/>
      </c>
      <c r="F93" s="30" t="n">
        <v>46153</v>
      </c>
      <c r="G93" s="28">
        <f>TEXT(F93,"[$-vi-VN]dddd")</f>
        <v/>
      </c>
      <c r="H93" s="28">
        <f>IF(COUNTIFS(INPUT!$A$5:$A$11,F93,INPUT!$C$5:$C$11,D93)&gt;0,"Bận phòng khám","OK")</f>
        <v/>
      </c>
      <c r="I93" s="28">
        <f>IF(COUNTIF(INPUT!$E$5:$E$11,F93)&gt;0,"Bận họp","OK")</f>
        <v/>
      </c>
      <c r="J93" s="28">
        <f>IF(COUNTIFS(INPUT!$I$5:$I$10,F93,INPUT!$K$5:$K$10,D93)&gt;0,"Bận trực","OK")</f>
        <v/>
      </c>
      <c r="K93" s="28">
        <f>IF(XLOOKUP(D93,INPUT!$M$5:$M$10,INPUT!$O$5:$O$10,"")=C93,"OK","Sai loại PT")</f>
        <v/>
      </c>
      <c r="L93" s="28">
        <f>IF(AND(H93="OK",I93="OK",J93="OK",K93="OK"),"OK","Bận lịch")</f>
        <v/>
      </c>
      <c r="M93" s="28">
        <f>COUNTIF($F$65:$F$100,F93)</f>
        <v/>
      </c>
      <c r="N93" s="28">
        <f>IF(AND(L93="OK",M93&lt;=11),"Đủ điều kiện","Loại")</f>
        <v/>
      </c>
    </row>
    <row r="94">
      <c r="A94" s="28">
        <f>INPUT!Q34</f>
        <v/>
      </c>
      <c r="B94" s="29">
        <f>INPUT!R34</f>
        <v/>
      </c>
      <c r="C94" s="28">
        <f>INPUT!S34</f>
        <v/>
      </c>
      <c r="D94" s="28">
        <f>IF(C94="Ghép gan",IF(MOD(COUNTIF($C$65:C94,"Ghép gan"),2)=1,"BS04","BS02"),IF(C94="Cắt gan",IF(MOD(COUNTIF($C$65:C94,"Cắt gan"),2)=1,"BS05","BS09"),IF(C94="Tái thùy","BS08",IF(C94="Cắt gan S","BS06",""))))</f>
        <v/>
      </c>
      <c r="E94" s="29">
        <f>XLOOKUP(D94,INPUT!$M$5:$M$10,INPUT!$N$5:$N$10,"")</f>
        <v/>
      </c>
      <c r="F94" s="30" t="n">
        <v>46154</v>
      </c>
      <c r="G94" s="28">
        <f>TEXT(F94,"[$-vi-VN]dddd")</f>
        <v/>
      </c>
      <c r="H94" s="28">
        <f>IF(COUNTIFS(INPUT!$A$5:$A$11,F94,INPUT!$C$5:$C$11,D94)&gt;0,"Bận phòng khám","OK")</f>
        <v/>
      </c>
      <c r="I94" s="28">
        <f>IF(COUNTIF(INPUT!$E$5:$E$11,F94)&gt;0,"Bận họp","OK")</f>
        <v/>
      </c>
      <c r="J94" s="28">
        <f>IF(COUNTIFS(INPUT!$I$5:$I$10,F94,INPUT!$K$5:$K$10,D94)&gt;0,"Bận trực","OK")</f>
        <v/>
      </c>
      <c r="K94" s="28">
        <f>IF(XLOOKUP(D94,INPUT!$M$5:$M$10,INPUT!$O$5:$O$10,"")=C94,"OK","Sai loại PT")</f>
        <v/>
      </c>
      <c r="L94" s="28">
        <f>IF(AND(H94="OK",I94="OK",J94="OK",K94="OK"),"OK","Bận lịch")</f>
        <v/>
      </c>
      <c r="M94" s="28">
        <f>COUNTIF($F$65:$F$100,F94)</f>
        <v/>
      </c>
      <c r="N94" s="28">
        <f>IF(AND(L94="OK",M94&lt;=11),"Đủ điều kiện","Loại")</f>
        <v/>
      </c>
    </row>
    <row r="95">
      <c r="A95" s="28">
        <f>INPUT!Q35</f>
        <v/>
      </c>
      <c r="B95" s="29">
        <f>INPUT!R35</f>
        <v/>
      </c>
      <c r="C95" s="28">
        <f>INPUT!S35</f>
        <v/>
      </c>
      <c r="D95" s="28">
        <f>IF(C95="Ghép gan",IF(MOD(COUNTIF($C$65:C95,"Ghép gan"),2)=1,"BS04","BS02"),IF(C95="Cắt gan",IF(MOD(COUNTIF($C$65:C95,"Cắt gan"),2)=1,"BS05","BS09"),IF(C95="Tái thùy","BS08",IF(C95="Cắt gan S","BS06",""))))</f>
        <v/>
      </c>
      <c r="E95" s="29">
        <f>XLOOKUP(D95,INPUT!$M$5:$M$10,INPUT!$N$5:$N$10,"")</f>
        <v/>
      </c>
      <c r="F95" s="30" t="n">
        <v>46155</v>
      </c>
      <c r="G95" s="28">
        <f>TEXT(F95,"[$-vi-VN]dddd")</f>
        <v/>
      </c>
      <c r="H95" s="28">
        <f>IF(COUNTIFS(INPUT!$A$5:$A$11,F95,INPUT!$C$5:$C$11,D95)&gt;0,"Bận phòng khám","OK")</f>
        <v/>
      </c>
      <c r="I95" s="28">
        <f>IF(COUNTIF(INPUT!$E$5:$E$11,F95)&gt;0,"Bận họp","OK")</f>
        <v/>
      </c>
      <c r="J95" s="28">
        <f>IF(COUNTIFS(INPUT!$I$5:$I$10,F95,INPUT!$K$5:$K$10,D95)&gt;0,"Bận trực","OK")</f>
        <v/>
      </c>
      <c r="K95" s="28">
        <f>IF(XLOOKUP(D95,INPUT!$M$5:$M$10,INPUT!$O$5:$O$10,"")=C95,"OK","Sai loại PT")</f>
        <v/>
      </c>
      <c r="L95" s="28">
        <f>IF(AND(H95="OK",I95="OK",J95="OK",K95="OK"),"OK","Bận lịch")</f>
        <v/>
      </c>
      <c r="M95" s="28">
        <f>COUNTIF($F$65:$F$100,F95)</f>
        <v/>
      </c>
      <c r="N95" s="28">
        <f>IF(AND(L95="OK",M95&lt;=11),"Đủ điều kiện","Loại")</f>
        <v/>
      </c>
    </row>
    <row r="96">
      <c r="A96" s="28">
        <f>INPUT!Q36</f>
        <v/>
      </c>
      <c r="B96" s="29">
        <f>INPUT!R36</f>
        <v/>
      </c>
      <c r="C96" s="28">
        <f>INPUT!S36</f>
        <v/>
      </c>
      <c r="D96" s="28">
        <f>IF(C96="Ghép gan",IF(MOD(COUNTIF($C$65:C96,"Ghép gan"),2)=1,"BS04","BS02"),IF(C96="Cắt gan",IF(MOD(COUNTIF($C$65:C96,"Cắt gan"),2)=1,"BS05","BS09"),IF(C96="Tái thùy","BS08",IF(C96="Cắt gan S","BS06",""))))</f>
        <v/>
      </c>
      <c r="E96" s="29">
        <f>XLOOKUP(D96,INPUT!$M$5:$M$10,INPUT!$N$5:$N$10,"")</f>
        <v/>
      </c>
      <c r="F96" s="30" t="n">
        <v>46156</v>
      </c>
      <c r="G96" s="28">
        <f>TEXT(F96,"[$-vi-VN]dddd")</f>
        <v/>
      </c>
      <c r="H96" s="28">
        <f>IF(COUNTIFS(INPUT!$A$5:$A$11,F96,INPUT!$C$5:$C$11,D96)&gt;0,"Bận phòng khám","OK")</f>
        <v/>
      </c>
      <c r="I96" s="28">
        <f>IF(COUNTIF(INPUT!$E$5:$E$11,F96)&gt;0,"Bận họp","OK")</f>
        <v/>
      </c>
      <c r="J96" s="28">
        <f>IF(COUNTIFS(INPUT!$I$5:$I$10,F96,INPUT!$K$5:$K$10,D96)&gt;0,"Bận trực","OK")</f>
        <v/>
      </c>
      <c r="K96" s="28">
        <f>IF(XLOOKUP(D96,INPUT!$M$5:$M$10,INPUT!$O$5:$O$10,"")=C96,"OK","Sai loại PT")</f>
        <v/>
      </c>
      <c r="L96" s="28">
        <f>IF(AND(H96="OK",I96="OK",J96="OK",K96="OK"),"OK","Bận lịch")</f>
        <v/>
      </c>
      <c r="M96" s="28">
        <f>COUNTIF($F$65:$F$100,F96)</f>
        <v/>
      </c>
      <c r="N96" s="28">
        <f>IF(AND(L96="OK",M96&lt;=11),"Đủ điều kiện","Loại")</f>
        <v/>
      </c>
    </row>
    <row r="97">
      <c r="A97" s="28">
        <f>INPUT!Q37</f>
        <v/>
      </c>
      <c r="B97" s="29">
        <f>INPUT!R37</f>
        <v/>
      </c>
      <c r="C97" s="28">
        <f>INPUT!S37</f>
        <v/>
      </c>
      <c r="D97" s="28">
        <f>IF(C97="Ghép gan",IF(MOD(COUNTIF($C$65:C97,"Ghép gan"),2)=1,"BS04","BS02"),IF(C97="Cắt gan",IF(MOD(COUNTIF($C$65:C97,"Cắt gan"),2)=1,"BS05","BS09"),IF(C97="Tái thùy","BS08",IF(C97="Cắt gan S","BS06",""))))</f>
        <v/>
      </c>
      <c r="E97" s="29">
        <f>XLOOKUP(D97,INPUT!$M$5:$M$10,INPUT!$N$5:$N$10,"")</f>
        <v/>
      </c>
      <c r="F97" s="30" t="n">
        <v>46153</v>
      </c>
      <c r="G97" s="28">
        <f>TEXT(F97,"[$-vi-VN]dddd")</f>
        <v/>
      </c>
      <c r="H97" s="28">
        <f>IF(COUNTIFS(INPUT!$A$5:$A$11,F97,INPUT!$C$5:$C$11,D97)&gt;0,"Bận phòng khám","OK")</f>
        <v/>
      </c>
      <c r="I97" s="28">
        <f>IF(COUNTIF(INPUT!$E$5:$E$11,F97)&gt;0,"Bận họp","OK")</f>
        <v/>
      </c>
      <c r="J97" s="28">
        <f>IF(COUNTIFS(INPUT!$I$5:$I$10,F97,INPUT!$K$5:$K$10,D97)&gt;0,"Bận trực","OK")</f>
        <v/>
      </c>
      <c r="K97" s="28">
        <f>IF(XLOOKUP(D97,INPUT!$M$5:$M$10,INPUT!$O$5:$O$10,"")=C97,"OK","Sai loại PT")</f>
        <v/>
      </c>
      <c r="L97" s="28">
        <f>IF(AND(H97="OK",I97="OK",J97="OK",K97="OK"),"OK","Bận lịch")</f>
        <v/>
      </c>
      <c r="M97" s="28">
        <f>COUNTIF($F$65:$F$100,F97)</f>
        <v/>
      </c>
      <c r="N97" s="28">
        <f>IF(AND(L97="OK",M97&lt;=11),"Đủ điều kiện","Loại")</f>
        <v/>
      </c>
    </row>
    <row r="98">
      <c r="A98" s="28">
        <f>INPUT!Q38</f>
        <v/>
      </c>
      <c r="B98" s="29">
        <f>INPUT!R38</f>
        <v/>
      </c>
      <c r="C98" s="28">
        <f>INPUT!S38</f>
        <v/>
      </c>
      <c r="D98" s="28">
        <f>IF(C98="Ghép gan",IF(MOD(COUNTIF($C$65:C98,"Ghép gan"),2)=1,"BS04","BS02"),IF(C98="Cắt gan",IF(MOD(COUNTIF($C$65:C98,"Cắt gan"),2)=1,"BS05","BS09"),IF(C98="Tái thùy","BS08",IF(C98="Cắt gan S","BS06",""))))</f>
        <v/>
      </c>
      <c r="E98" s="29">
        <f>XLOOKUP(D98,INPUT!$M$5:$M$10,INPUT!$N$5:$N$10,"")</f>
        <v/>
      </c>
      <c r="F98" s="30" t="n">
        <v>46154</v>
      </c>
      <c r="G98" s="28">
        <f>TEXT(F98,"[$-vi-VN]dddd")</f>
        <v/>
      </c>
      <c r="H98" s="28">
        <f>IF(COUNTIFS(INPUT!$A$5:$A$11,F98,INPUT!$C$5:$C$11,D98)&gt;0,"Bận phòng khám","OK")</f>
        <v/>
      </c>
      <c r="I98" s="28">
        <f>IF(COUNTIF(INPUT!$E$5:$E$11,F98)&gt;0,"Bận họp","OK")</f>
        <v/>
      </c>
      <c r="J98" s="28">
        <f>IF(COUNTIFS(INPUT!$I$5:$I$10,F98,INPUT!$K$5:$K$10,D98)&gt;0,"Bận trực","OK")</f>
        <v/>
      </c>
      <c r="K98" s="28">
        <f>IF(XLOOKUP(D98,INPUT!$M$5:$M$10,INPUT!$O$5:$O$10,"")=C98,"OK","Sai loại PT")</f>
        <v/>
      </c>
      <c r="L98" s="28">
        <f>IF(AND(H98="OK",I98="OK",J98="OK",K98="OK"),"OK","Bận lịch")</f>
        <v/>
      </c>
      <c r="M98" s="28">
        <f>COUNTIF($F$65:$F$100,F98)</f>
        <v/>
      </c>
      <c r="N98" s="28">
        <f>IF(AND(L98="OK",M98&lt;=11),"Đủ điều kiện","Loại")</f>
        <v/>
      </c>
    </row>
    <row r="99">
      <c r="A99" s="28">
        <f>INPUT!Q39</f>
        <v/>
      </c>
      <c r="B99" s="29">
        <f>INPUT!R39</f>
        <v/>
      </c>
      <c r="C99" s="28">
        <f>INPUT!S39</f>
        <v/>
      </c>
      <c r="D99" s="28">
        <f>IF(C99="Ghép gan",IF(MOD(COUNTIF($C$65:C99,"Ghép gan"),2)=1,"BS04","BS02"),IF(C99="Cắt gan",IF(MOD(COUNTIF($C$65:C99,"Cắt gan"),2)=1,"BS05","BS09"),IF(C99="Tái thùy","BS08",IF(C99="Cắt gan S","BS06",""))))</f>
        <v/>
      </c>
      <c r="E99" s="29">
        <f>XLOOKUP(D99,INPUT!$M$5:$M$10,INPUT!$N$5:$N$10,"")</f>
        <v/>
      </c>
      <c r="F99" s="30" t="n">
        <v>46155</v>
      </c>
      <c r="G99" s="28">
        <f>TEXT(F99,"[$-vi-VN]dddd")</f>
        <v/>
      </c>
      <c r="H99" s="28">
        <f>IF(COUNTIFS(INPUT!$A$5:$A$11,F99,INPUT!$C$5:$C$11,D99)&gt;0,"Bận phòng khám","OK")</f>
        <v/>
      </c>
      <c r="I99" s="28">
        <f>IF(COUNTIF(INPUT!$E$5:$E$11,F99)&gt;0,"Bận họp","OK")</f>
        <v/>
      </c>
      <c r="J99" s="28">
        <f>IF(COUNTIFS(INPUT!$I$5:$I$10,F99,INPUT!$K$5:$K$10,D99)&gt;0,"Bận trực","OK")</f>
        <v/>
      </c>
      <c r="K99" s="28">
        <f>IF(XLOOKUP(D99,INPUT!$M$5:$M$10,INPUT!$O$5:$O$10,"")=C99,"OK","Sai loại PT")</f>
        <v/>
      </c>
      <c r="L99" s="28">
        <f>IF(AND(H99="OK",I99="OK",J99="OK",K99="OK"),"OK","Bận lịch")</f>
        <v/>
      </c>
      <c r="M99" s="28">
        <f>COUNTIF($F$65:$F$100,F99)</f>
        <v/>
      </c>
      <c r="N99" s="28">
        <f>IF(AND(L99="OK",M99&lt;=11),"Đủ điều kiện","Loại")</f>
        <v/>
      </c>
    </row>
    <row r="100">
      <c r="A100" s="28">
        <f>INPUT!Q40</f>
        <v/>
      </c>
      <c r="B100" s="29">
        <f>INPUT!R40</f>
        <v/>
      </c>
      <c r="C100" s="28">
        <f>INPUT!S40</f>
        <v/>
      </c>
      <c r="D100" s="28">
        <f>IF(C100="Ghép gan",IF(MOD(COUNTIF($C$65:C100,"Ghép gan"),2)=1,"BS04","BS02"),IF(C100="Cắt gan",IF(MOD(COUNTIF($C$65:C100,"Cắt gan"),2)=1,"BS05","BS09"),IF(C100="Tái thùy","BS08",IF(C100="Cắt gan S","BS06",""))))</f>
        <v/>
      </c>
      <c r="E100" s="29">
        <f>XLOOKUP(D100,INPUT!$M$5:$M$10,INPUT!$N$5:$N$10,"")</f>
        <v/>
      </c>
      <c r="F100" s="30" t="n">
        <v>46156</v>
      </c>
      <c r="G100" s="28">
        <f>TEXT(F100,"[$-vi-VN]dddd")</f>
        <v/>
      </c>
      <c r="H100" s="28">
        <f>IF(COUNTIFS(INPUT!$A$5:$A$11,F100,INPUT!$C$5:$C$11,D100)&gt;0,"Bận phòng khám","OK")</f>
        <v/>
      </c>
      <c r="I100" s="28">
        <f>IF(COUNTIF(INPUT!$E$5:$E$11,F100)&gt;0,"Bận họp","OK")</f>
        <v/>
      </c>
      <c r="J100" s="28">
        <f>IF(COUNTIFS(INPUT!$I$5:$I$10,F100,INPUT!$K$5:$K$10,D100)&gt;0,"Bận trực","OK")</f>
        <v/>
      </c>
      <c r="K100" s="28">
        <f>IF(XLOOKUP(D100,INPUT!$M$5:$M$10,INPUT!$O$5:$O$10,"")=C100,"OK","Sai loại PT")</f>
        <v/>
      </c>
      <c r="L100" s="28">
        <f>IF(AND(H100="OK",I100="OK",J100="OK",K100="OK"),"OK","Bận lịch")</f>
        <v/>
      </c>
      <c r="M100" s="28">
        <f>COUNTIF($F$65:$F$100,F100)</f>
        <v/>
      </c>
      <c r="N100" s="28">
        <f>IF(AND(L100="OK",M100&lt;=11),"Đủ điều kiện","Loại")</f>
        <v/>
      </c>
    </row>
  </sheetData>
  <mergeCells count="2">
    <mergeCell ref="A2:N2"/>
    <mergeCell ref="A1:N1"/>
  </mergeCells>
  <conditionalFormatting sqref="N65:N100">
    <cfRule type="cellIs" priority="1" operator="equal" dxfId="0">
      <formula>"Đủ điều kiện"</formula>
    </cfRule>
    <cfRule type="cellIs" priority="2" operator="equal" dxfId="1">
      <formula>"Loại"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8" customWidth="1" min="4" max="4"/>
    <col width="18" customWidth="1" min="5" max="5"/>
    <col width="16" customWidth="1" min="6" max="6"/>
  </cols>
  <sheetData>
    <row r="1" ht="26" customHeight="1">
      <c r="A1" s="31" t="inlineStr">
        <is>
          <t>OUTPUT CUỐI CÙNG — DANH SÁCH NGÀY MỔ ĐÃ XẾP</t>
        </is>
      </c>
    </row>
    <row r="2" ht="24" customHeight="1">
      <c r="A2" s="27" t="inlineStr">
        <is>
          <t>Ngày mổ</t>
        </is>
      </c>
      <c r="B2" s="27" t="inlineStr">
        <is>
          <t>Thứ</t>
        </is>
      </c>
      <c r="C2" s="27" t="inlineStr">
        <is>
          <t>Bác sĩ</t>
        </is>
      </c>
      <c r="D2" s="27" t="inlineStr">
        <is>
          <t>Bệnh nhân</t>
        </is>
      </c>
      <c r="E2" s="27" t="inlineStr">
        <is>
          <t>Loại PT</t>
        </is>
      </c>
      <c r="F2" s="27" t="inlineStr">
        <is>
          <t>Kết luận</t>
        </is>
      </c>
    </row>
    <row r="3">
      <c r="A3" s="20">
        <f>IF(TÍNH TOÁN!$N65="Đủ điều kiện",TEXT(TÍNH TOÁN!$F65,"yyyy-mm-dd"),"")</f>
        <v/>
      </c>
      <c r="B3" s="20">
        <f>IF(TÍNH TOÁN!$N65="Đủ điều kiện",TÍNH TOÁN!$G65,"")</f>
        <v/>
      </c>
      <c r="C3" s="21">
        <f>IF(TÍNH TOÁN!$N65="Đủ điều kiện",TÍNH TOÁN!$E65,"")</f>
        <v/>
      </c>
      <c r="D3" s="21">
        <f>IF(TÍNH TOÁN!$N65="Đủ điều kiện",TÍNH TOÁN!$B65,"")</f>
        <v/>
      </c>
      <c r="E3" s="20">
        <f>IF(TÍNH TOÁN!$N65="Đủ điều kiện",TÍNH TOÁN!$C65,"")</f>
        <v/>
      </c>
      <c r="F3" s="20">
        <f>TÍNH TOÁN!$N65</f>
        <v/>
      </c>
    </row>
    <row r="4">
      <c r="A4" s="23">
        <f>IF(TÍNH TOÁN!$N66="Đủ điều kiện",TEXT(TÍNH TOÁN!$F66,"yyyy-mm-dd"),"")</f>
        <v/>
      </c>
      <c r="B4" s="23">
        <f>IF(TÍNH TOÁN!$N66="Đủ điều kiện",TÍNH TOÁN!$G66,"")</f>
        <v/>
      </c>
      <c r="C4" s="24">
        <f>IF(TÍNH TOÁN!$N66="Đủ điều kiện",TÍNH TOÁN!$E66,"")</f>
        <v/>
      </c>
      <c r="D4" s="24">
        <f>IF(TÍNH TOÁN!$N66="Đủ điều kiện",TÍNH TOÁN!$B66,"")</f>
        <v/>
      </c>
      <c r="E4" s="23">
        <f>IF(TÍNH TOÁN!$N66="Đủ điều kiện",TÍNH TOÁN!$C66,"")</f>
        <v/>
      </c>
      <c r="F4" s="23">
        <f>TÍNH TOÁN!$N66</f>
        <v/>
      </c>
    </row>
    <row r="5">
      <c r="A5" s="20">
        <f>IF(TÍNH TOÁN!$N67="Đủ điều kiện",TEXT(TÍNH TOÁN!$F67,"yyyy-mm-dd"),"")</f>
        <v/>
      </c>
      <c r="B5" s="20">
        <f>IF(TÍNH TOÁN!$N67="Đủ điều kiện",TÍNH TOÁN!$G67,"")</f>
        <v/>
      </c>
      <c r="C5" s="21">
        <f>IF(TÍNH TOÁN!$N67="Đủ điều kiện",TÍNH TOÁN!$E67,"")</f>
        <v/>
      </c>
      <c r="D5" s="21">
        <f>IF(TÍNH TOÁN!$N67="Đủ điều kiện",TÍNH TOÁN!$B67,"")</f>
        <v/>
      </c>
      <c r="E5" s="20">
        <f>IF(TÍNH TOÁN!$N67="Đủ điều kiện",TÍNH TOÁN!$C67,"")</f>
        <v/>
      </c>
      <c r="F5" s="20">
        <f>TÍNH TOÁN!$N67</f>
        <v/>
      </c>
    </row>
    <row r="6">
      <c r="A6" s="23">
        <f>IF(TÍNH TOÁN!$N68="Đủ điều kiện",TEXT(TÍNH TOÁN!$F68,"yyyy-mm-dd"),"")</f>
        <v/>
      </c>
      <c r="B6" s="23">
        <f>IF(TÍNH TOÁN!$N68="Đủ điều kiện",TÍNH TOÁN!$G68,"")</f>
        <v/>
      </c>
      <c r="C6" s="24">
        <f>IF(TÍNH TOÁN!$N68="Đủ điều kiện",TÍNH TOÁN!$E68,"")</f>
        <v/>
      </c>
      <c r="D6" s="24">
        <f>IF(TÍNH TOÁN!$N68="Đủ điều kiện",TÍNH TOÁN!$B68,"")</f>
        <v/>
      </c>
      <c r="E6" s="23">
        <f>IF(TÍNH TOÁN!$N68="Đủ điều kiện",TÍNH TOÁN!$C68,"")</f>
        <v/>
      </c>
      <c r="F6" s="23">
        <f>TÍNH TOÁN!$N68</f>
        <v/>
      </c>
    </row>
    <row r="7">
      <c r="A7" s="20">
        <f>IF(TÍNH TOÁN!$N69="Đủ điều kiện",TEXT(TÍNH TOÁN!$F69,"yyyy-mm-dd"),"")</f>
        <v/>
      </c>
      <c r="B7" s="20">
        <f>IF(TÍNH TOÁN!$N69="Đủ điều kiện",TÍNH TOÁN!$G69,"")</f>
        <v/>
      </c>
      <c r="C7" s="21">
        <f>IF(TÍNH TOÁN!$N69="Đủ điều kiện",TÍNH TOÁN!$E69,"")</f>
        <v/>
      </c>
      <c r="D7" s="21">
        <f>IF(TÍNH TOÁN!$N69="Đủ điều kiện",TÍNH TOÁN!$B69,"")</f>
        <v/>
      </c>
      <c r="E7" s="20">
        <f>IF(TÍNH TOÁN!$N69="Đủ điều kiện",TÍNH TOÁN!$C69,"")</f>
        <v/>
      </c>
      <c r="F7" s="20">
        <f>TÍNH TOÁN!$N69</f>
        <v/>
      </c>
    </row>
    <row r="8">
      <c r="A8" s="23">
        <f>IF(TÍNH TOÁN!$N70="Đủ điều kiện",TEXT(TÍNH TOÁN!$F70,"yyyy-mm-dd"),"")</f>
        <v/>
      </c>
      <c r="B8" s="23">
        <f>IF(TÍNH TOÁN!$N70="Đủ điều kiện",TÍNH TOÁN!$G70,"")</f>
        <v/>
      </c>
      <c r="C8" s="24">
        <f>IF(TÍNH TOÁN!$N70="Đủ điều kiện",TÍNH TOÁN!$E70,"")</f>
        <v/>
      </c>
      <c r="D8" s="24">
        <f>IF(TÍNH TOÁN!$N70="Đủ điều kiện",TÍNH TOÁN!$B70,"")</f>
        <v/>
      </c>
      <c r="E8" s="23">
        <f>IF(TÍNH TOÁN!$N70="Đủ điều kiện",TÍNH TOÁN!$C70,"")</f>
        <v/>
      </c>
      <c r="F8" s="23">
        <f>TÍNH TOÁN!$N70</f>
        <v/>
      </c>
    </row>
    <row r="9">
      <c r="A9" s="20">
        <f>IF(TÍNH TOÁN!$N71="Đủ điều kiện",TEXT(TÍNH TOÁN!$F71,"yyyy-mm-dd"),"")</f>
        <v/>
      </c>
      <c r="B9" s="20">
        <f>IF(TÍNH TOÁN!$N71="Đủ điều kiện",TÍNH TOÁN!$G71,"")</f>
        <v/>
      </c>
      <c r="C9" s="21">
        <f>IF(TÍNH TOÁN!$N71="Đủ điều kiện",TÍNH TOÁN!$E71,"")</f>
        <v/>
      </c>
      <c r="D9" s="21">
        <f>IF(TÍNH TOÁN!$N71="Đủ điều kiện",TÍNH TOÁN!$B71,"")</f>
        <v/>
      </c>
      <c r="E9" s="20">
        <f>IF(TÍNH TOÁN!$N71="Đủ điều kiện",TÍNH TOÁN!$C71,"")</f>
        <v/>
      </c>
      <c r="F9" s="20">
        <f>TÍNH TOÁN!$N71</f>
        <v/>
      </c>
    </row>
    <row r="10">
      <c r="A10" s="23">
        <f>IF(TÍNH TOÁN!$N72="Đủ điều kiện",TEXT(TÍNH TOÁN!$F72,"yyyy-mm-dd"),"")</f>
        <v/>
      </c>
      <c r="B10" s="23">
        <f>IF(TÍNH TOÁN!$N72="Đủ điều kiện",TÍNH TOÁN!$G72,"")</f>
        <v/>
      </c>
      <c r="C10" s="24">
        <f>IF(TÍNH TOÁN!$N72="Đủ điều kiện",TÍNH TOÁN!$E72,"")</f>
        <v/>
      </c>
      <c r="D10" s="24">
        <f>IF(TÍNH TOÁN!$N72="Đủ điều kiện",TÍNH TOÁN!$B72,"")</f>
        <v/>
      </c>
      <c r="E10" s="23">
        <f>IF(TÍNH TOÁN!$N72="Đủ điều kiện",TÍNH TOÁN!$C72,"")</f>
        <v/>
      </c>
      <c r="F10" s="23">
        <f>TÍNH TOÁN!$N72</f>
        <v/>
      </c>
    </row>
    <row r="11">
      <c r="A11" s="20">
        <f>IF(TÍNH TOÁN!$N73="Đủ điều kiện",TEXT(TÍNH TOÁN!$F73,"yyyy-mm-dd"),"")</f>
        <v/>
      </c>
      <c r="B11" s="20">
        <f>IF(TÍNH TOÁN!$N73="Đủ điều kiện",TÍNH TOÁN!$G73,"")</f>
        <v/>
      </c>
      <c r="C11" s="21">
        <f>IF(TÍNH TOÁN!$N73="Đủ điều kiện",TÍNH TOÁN!$E73,"")</f>
        <v/>
      </c>
      <c r="D11" s="21">
        <f>IF(TÍNH TOÁN!$N73="Đủ điều kiện",TÍNH TOÁN!$B73,"")</f>
        <v/>
      </c>
      <c r="E11" s="20">
        <f>IF(TÍNH TOÁN!$N73="Đủ điều kiện",TÍNH TOÁN!$C73,"")</f>
        <v/>
      </c>
      <c r="F11" s="20">
        <f>TÍNH TOÁN!$N73</f>
        <v/>
      </c>
    </row>
    <row r="12">
      <c r="A12" s="23">
        <f>IF(TÍNH TOÁN!$N74="Đủ điều kiện",TEXT(TÍNH TOÁN!$F74,"yyyy-mm-dd"),"")</f>
        <v/>
      </c>
      <c r="B12" s="23">
        <f>IF(TÍNH TOÁN!$N74="Đủ điều kiện",TÍNH TOÁN!$G74,"")</f>
        <v/>
      </c>
      <c r="C12" s="24">
        <f>IF(TÍNH TOÁN!$N74="Đủ điều kiện",TÍNH TOÁN!$E74,"")</f>
        <v/>
      </c>
      <c r="D12" s="24">
        <f>IF(TÍNH TOÁN!$N74="Đủ điều kiện",TÍNH TOÁN!$B74,"")</f>
        <v/>
      </c>
      <c r="E12" s="23">
        <f>IF(TÍNH TOÁN!$N74="Đủ điều kiện",TÍNH TOÁN!$C74,"")</f>
        <v/>
      </c>
      <c r="F12" s="23">
        <f>TÍNH TOÁN!$N74</f>
        <v/>
      </c>
    </row>
    <row r="13">
      <c r="A13" s="20">
        <f>IF(TÍNH TOÁN!$N75="Đủ điều kiện",TEXT(TÍNH TOÁN!$F75,"yyyy-mm-dd"),"")</f>
        <v/>
      </c>
      <c r="B13" s="20">
        <f>IF(TÍNH TOÁN!$N75="Đủ điều kiện",TÍNH TOÁN!$G75,"")</f>
        <v/>
      </c>
      <c r="C13" s="21">
        <f>IF(TÍNH TOÁN!$N75="Đủ điều kiện",TÍNH TOÁN!$E75,"")</f>
        <v/>
      </c>
      <c r="D13" s="21">
        <f>IF(TÍNH TOÁN!$N75="Đủ điều kiện",TÍNH TOÁN!$B75,"")</f>
        <v/>
      </c>
      <c r="E13" s="20">
        <f>IF(TÍNH TOÁN!$N75="Đủ điều kiện",TÍNH TOÁN!$C75,"")</f>
        <v/>
      </c>
      <c r="F13" s="20">
        <f>TÍNH TOÁN!$N75</f>
        <v/>
      </c>
    </row>
    <row r="14">
      <c r="A14" s="23">
        <f>IF(TÍNH TOÁN!$N76="Đủ điều kiện",TEXT(TÍNH TOÁN!$F76,"yyyy-mm-dd"),"")</f>
        <v/>
      </c>
      <c r="B14" s="23">
        <f>IF(TÍNH TOÁN!$N76="Đủ điều kiện",TÍNH TOÁN!$G76,"")</f>
        <v/>
      </c>
      <c r="C14" s="24">
        <f>IF(TÍNH TOÁN!$N76="Đủ điều kiện",TÍNH TOÁN!$E76,"")</f>
        <v/>
      </c>
      <c r="D14" s="24">
        <f>IF(TÍNH TOÁN!$N76="Đủ điều kiện",TÍNH TOÁN!$B76,"")</f>
        <v/>
      </c>
      <c r="E14" s="23">
        <f>IF(TÍNH TOÁN!$N76="Đủ điều kiện",TÍNH TOÁN!$C76,"")</f>
        <v/>
      </c>
      <c r="F14" s="23">
        <f>TÍNH TOÁN!$N76</f>
        <v/>
      </c>
    </row>
    <row r="15">
      <c r="A15" s="20">
        <f>IF(TÍNH TOÁN!$N77="Đủ điều kiện",TEXT(TÍNH TOÁN!$F77,"yyyy-mm-dd"),"")</f>
        <v/>
      </c>
      <c r="B15" s="20">
        <f>IF(TÍNH TOÁN!$N77="Đủ điều kiện",TÍNH TOÁN!$G77,"")</f>
        <v/>
      </c>
      <c r="C15" s="21">
        <f>IF(TÍNH TOÁN!$N77="Đủ điều kiện",TÍNH TOÁN!$E77,"")</f>
        <v/>
      </c>
      <c r="D15" s="21">
        <f>IF(TÍNH TOÁN!$N77="Đủ điều kiện",TÍNH TOÁN!$B77,"")</f>
        <v/>
      </c>
      <c r="E15" s="20">
        <f>IF(TÍNH TOÁN!$N77="Đủ điều kiện",TÍNH TOÁN!$C77,"")</f>
        <v/>
      </c>
      <c r="F15" s="20">
        <f>TÍNH TOÁN!$N77</f>
        <v/>
      </c>
    </row>
    <row r="16">
      <c r="A16" s="23">
        <f>IF(TÍNH TOÁN!$N78="Đủ điều kiện",TEXT(TÍNH TOÁN!$F78,"yyyy-mm-dd"),"")</f>
        <v/>
      </c>
      <c r="B16" s="23">
        <f>IF(TÍNH TOÁN!$N78="Đủ điều kiện",TÍNH TOÁN!$G78,"")</f>
        <v/>
      </c>
      <c r="C16" s="24">
        <f>IF(TÍNH TOÁN!$N78="Đủ điều kiện",TÍNH TOÁN!$E78,"")</f>
        <v/>
      </c>
      <c r="D16" s="24">
        <f>IF(TÍNH TOÁN!$N78="Đủ điều kiện",TÍNH TOÁN!$B78,"")</f>
        <v/>
      </c>
      <c r="E16" s="23">
        <f>IF(TÍNH TOÁN!$N78="Đủ điều kiện",TÍNH TOÁN!$C78,"")</f>
        <v/>
      </c>
      <c r="F16" s="23">
        <f>TÍNH TOÁN!$N78</f>
        <v/>
      </c>
    </row>
    <row r="17">
      <c r="A17" s="20">
        <f>IF(TÍNH TOÁN!$N79="Đủ điều kiện",TEXT(TÍNH TOÁN!$F79,"yyyy-mm-dd"),"")</f>
        <v/>
      </c>
      <c r="B17" s="20">
        <f>IF(TÍNH TOÁN!$N79="Đủ điều kiện",TÍNH TOÁN!$G79,"")</f>
        <v/>
      </c>
      <c r="C17" s="21">
        <f>IF(TÍNH TOÁN!$N79="Đủ điều kiện",TÍNH TOÁN!$E79,"")</f>
        <v/>
      </c>
      <c r="D17" s="21">
        <f>IF(TÍNH TOÁN!$N79="Đủ điều kiện",TÍNH TOÁN!$B79,"")</f>
        <v/>
      </c>
      <c r="E17" s="20">
        <f>IF(TÍNH TOÁN!$N79="Đủ điều kiện",TÍNH TOÁN!$C79,"")</f>
        <v/>
      </c>
      <c r="F17" s="20">
        <f>TÍNH TOÁN!$N79</f>
        <v/>
      </c>
    </row>
    <row r="18">
      <c r="A18" s="23">
        <f>IF(TÍNH TOÁN!$N80="Đủ điều kiện",TEXT(TÍNH TOÁN!$F80,"yyyy-mm-dd"),"")</f>
        <v/>
      </c>
      <c r="B18" s="23">
        <f>IF(TÍNH TOÁN!$N80="Đủ điều kiện",TÍNH TOÁN!$G80,"")</f>
        <v/>
      </c>
      <c r="C18" s="24">
        <f>IF(TÍNH TOÁN!$N80="Đủ điều kiện",TÍNH TOÁN!$E80,"")</f>
        <v/>
      </c>
      <c r="D18" s="24">
        <f>IF(TÍNH TOÁN!$N80="Đủ điều kiện",TÍNH TOÁN!$B80,"")</f>
        <v/>
      </c>
      <c r="E18" s="23">
        <f>IF(TÍNH TOÁN!$N80="Đủ điều kiện",TÍNH TOÁN!$C80,"")</f>
        <v/>
      </c>
      <c r="F18" s="23">
        <f>TÍNH TOÁN!$N80</f>
        <v/>
      </c>
    </row>
    <row r="19">
      <c r="A19" s="20">
        <f>IF(TÍNH TOÁN!$N81="Đủ điều kiện",TEXT(TÍNH TOÁN!$F81,"yyyy-mm-dd"),"")</f>
        <v/>
      </c>
      <c r="B19" s="20">
        <f>IF(TÍNH TOÁN!$N81="Đủ điều kiện",TÍNH TOÁN!$G81,"")</f>
        <v/>
      </c>
      <c r="C19" s="21">
        <f>IF(TÍNH TOÁN!$N81="Đủ điều kiện",TÍNH TOÁN!$E81,"")</f>
        <v/>
      </c>
      <c r="D19" s="21">
        <f>IF(TÍNH TOÁN!$N81="Đủ điều kiện",TÍNH TOÁN!$B81,"")</f>
        <v/>
      </c>
      <c r="E19" s="20">
        <f>IF(TÍNH TOÁN!$N81="Đủ điều kiện",TÍNH TOÁN!$C81,"")</f>
        <v/>
      </c>
      <c r="F19" s="20">
        <f>TÍNH TOÁN!$N81</f>
        <v/>
      </c>
    </row>
    <row r="20">
      <c r="A20" s="23">
        <f>IF(TÍNH TOÁN!$N82="Đủ điều kiện",TEXT(TÍNH TOÁN!$F82,"yyyy-mm-dd"),"")</f>
        <v/>
      </c>
      <c r="B20" s="23">
        <f>IF(TÍNH TOÁN!$N82="Đủ điều kiện",TÍNH TOÁN!$G82,"")</f>
        <v/>
      </c>
      <c r="C20" s="24">
        <f>IF(TÍNH TOÁN!$N82="Đủ điều kiện",TÍNH TOÁN!$E82,"")</f>
        <v/>
      </c>
      <c r="D20" s="24">
        <f>IF(TÍNH TOÁN!$N82="Đủ điều kiện",TÍNH TOÁN!$B82,"")</f>
        <v/>
      </c>
      <c r="E20" s="23">
        <f>IF(TÍNH TOÁN!$N82="Đủ điều kiện",TÍNH TOÁN!$C82,"")</f>
        <v/>
      </c>
      <c r="F20" s="23">
        <f>TÍNH TOÁN!$N82</f>
        <v/>
      </c>
    </row>
    <row r="21">
      <c r="A21" s="20">
        <f>IF(TÍNH TOÁN!$N83="Đủ điều kiện",TEXT(TÍNH TOÁN!$F83,"yyyy-mm-dd"),"")</f>
        <v/>
      </c>
      <c r="B21" s="20">
        <f>IF(TÍNH TOÁN!$N83="Đủ điều kiện",TÍNH TOÁN!$G83,"")</f>
        <v/>
      </c>
      <c r="C21" s="21">
        <f>IF(TÍNH TOÁN!$N83="Đủ điều kiện",TÍNH TOÁN!$E83,"")</f>
        <v/>
      </c>
      <c r="D21" s="21">
        <f>IF(TÍNH TOÁN!$N83="Đủ điều kiện",TÍNH TOÁN!$B83,"")</f>
        <v/>
      </c>
      <c r="E21" s="20">
        <f>IF(TÍNH TOÁN!$N83="Đủ điều kiện",TÍNH TOÁN!$C83,"")</f>
        <v/>
      </c>
      <c r="F21" s="20">
        <f>TÍNH TOÁN!$N83</f>
        <v/>
      </c>
    </row>
    <row r="22">
      <c r="A22" s="23">
        <f>IF(TÍNH TOÁN!$N84="Đủ điều kiện",TEXT(TÍNH TOÁN!$F84,"yyyy-mm-dd"),"")</f>
        <v/>
      </c>
      <c r="B22" s="23">
        <f>IF(TÍNH TOÁN!$N84="Đủ điều kiện",TÍNH TOÁN!$G84,"")</f>
        <v/>
      </c>
      <c r="C22" s="24">
        <f>IF(TÍNH TOÁN!$N84="Đủ điều kiện",TÍNH TOÁN!$E84,"")</f>
        <v/>
      </c>
      <c r="D22" s="24">
        <f>IF(TÍNH TOÁN!$N84="Đủ điều kiện",TÍNH TOÁN!$B84,"")</f>
        <v/>
      </c>
      <c r="E22" s="23">
        <f>IF(TÍNH TOÁN!$N84="Đủ điều kiện",TÍNH TOÁN!$C84,"")</f>
        <v/>
      </c>
      <c r="F22" s="23">
        <f>TÍNH TOÁN!$N84</f>
        <v/>
      </c>
    </row>
    <row r="23">
      <c r="A23" s="20">
        <f>IF(TÍNH TOÁN!$N85="Đủ điều kiện",TEXT(TÍNH TOÁN!$F85,"yyyy-mm-dd"),"")</f>
        <v/>
      </c>
      <c r="B23" s="20">
        <f>IF(TÍNH TOÁN!$N85="Đủ điều kiện",TÍNH TOÁN!$G85,"")</f>
        <v/>
      </c>
      <c r="C23" s="21">
        <f>IF(TÍNH TOÁN!$N85="Đủ điều kiện",TÍNH TOÁN!$E85,"")</f>
        <v/>
      </c>
      <c r="D23" s="21">
        <f>IF(TÍNH TOÁN!$N85="Đủ điều kiện",TÍNH TOÁN!$B85,"")</f>
        <v/>
      </c>
      <c r="E23" s="20">
        <f>IF(TÍNH TOÁN!$N85="Đủ điều kiện",TÍNH TOÁN!$C85,"")</f>
        <v/>
      </c>
      <c r="F23" s="20">
        <f>TÍNH TOÁN!$N85</f>
        <v/>
      </c>
    </row>
    <row r="24">
      <c r="A24" s="23">
        <f>IF(TÍNH TOÁN!$N86="Đủ điều kiện",TEXT(TÍNH TOÁN!$F86,"yyyy-mm-dd"),"")</f>
        <v/>
      </c>
      <c r="B24" s="23">
        <f>IF(TÍNH TOÁN!$N86="Đủ điều kiện",TÍNH TOÁN!$G86,"")</f>
        <v/>
      </c>
      <c r="C24" s="24">
        <f>IF(TÍNH TOÁN!$N86="Đủ điều kiện",TÍNH TOÁN!$E86,"")</f>
        <v/>
      </c>
      <c r="D24" s="24">
        <f>IF(TÍNH TOÁN!$N86="Đủ điều kiện",TÍNH TOÁN!$B86,"")</f>
        <v/>
      </c>
      <c r="E24" s="23">
        <f>IF(TÍNH TOÁN!$N86="Đủ điều kiện",TÍNH TOÁN!$C86,"")</f>
        <v/>
      </c>
      <c r="F24" s="23">
        <f>TÍNH TOÁN!$N86</f>
        <v/>
      </c>
    </row>
    <row r="25">
      <c r="A25" s="20">
        <f>IF(TÍNH TOÁN!$N87="Đủ điều kiện",TEXT(TÍNH TOÁN!$F87,"yyyy-mm-dd"),"")</f>
        <v/>
      </c>
      <c r="B25" s="20">
        <f>IF(TÍNH TOÁN!$N87="Đủ điều kiện",TÍNH TOÁN!$G87,"")</f>
        <v/>
      </c>
      <c r="C25" s="21">
        <f>IF(TÍNH TOÁN!$N87="Đủ điều kiện",TÍNH TOÁN!$E87,"")</f>
        <v/>
      </c>
      <c r="D25" s="21">
        <f>IF(TÍNH TOÁN!$N87="Đủ điều kiện",TÍNH TOÁN!$B87,"")</f>
        <v/>
      </c>
      <c r="E25" s="20">
        <f>IF(TÍNH TOÁN!$N87="Đủ điều kiện",TÍNH TOÁN!$C87,"")</f>
        <v/>
      </c>
      <c r="F25" s="20">
        <f>TÍNH TOÁN!$N87</f>
        <v/>
      </c>
    </row>
    <row r="26">
      <c r="A26" s="23">
        <f>IF(TÍNH TOÁN!$N88="Đủ điều kiện",TEXT(TÍNH TOÁN!$F88,"yyyy-mm-dd"),"")</f>
        <v/>
      </c>
      <c r="B26" s="23">
        <f>IF(TÍNH TOÁN!$N88="Đủ điều kiện",TÍNH TOÁN!$G88,"")</f>
        <v/>
      </c>
      <c r="C26" s="24">
        <f>IF(TÍNH TOÁN!$N88="Đủ điều kiện",TÍNH TOÁN!$E88,"")</f>
        <v/>
      </c>
      <c r="D26" s="24">
        <f>IF(TÍNH TOÁN!$N88="Đủ điều kiện",TÍNH TOÁN!$B88,"")</f>
        <v/>
      </c>
      <c r="E26" s="23">
        <f>IF(TÍNH TOÁN!$N88="Đủ điều kiện",TÍNH TOÁN!$C88,"")</f>
        <v/>
      </c>
      <c r="F26" s="23">
        <f>TÍNH TOÁN!$N88</f>
        <v/>
      </c>
    </row>
    <row r="27">
      <c r="A27" s="20">
        <f>IF(TÍNH TOÁN!$N89="Đủ điều kiện",TEXT(TÍNH TOÁN!$F89,"yyyy-mm-dd"),"")</f>
        <v/>
      </c>
      <c r="B27" s="20">
        <f>IF(TÍNH TOÁN!$N89="Đủ điều kiện",TÍNH TOÁN!$G89,"")</f>
        <v/>
      </c>
      <c r="C27" s="21">
        <f>IF(TÍNH TOÁN!$N89="Đủ điều kiện",TÍNH TOÁN!$E89,"")</f>
        <v/>
      </c>
      <c r="D27" s="21">
        <f>IF(TÍNH TOÁN!$N89="Đủ điều kiện",TÍNH TOÁN!$B89,"")</f>
        <v/>
      </c>
      <c r="E27" s="20">
        <f>IF(TÍNH TOÁN!$N89="Đủ điều kiện",TÍNH TOÁN!$C89,"")</f>
        <v/>
      </c>
      <c r="F27" s="20">
        <f>TÍNH TOÁN!$N89</f>
        <v/>
      </c>
    </row>
    <row r="28">
      <c r="A28" s="23">
        <f>IF(TÍNH TOÁN!$N90="Đủ điều kiện",TEXT(TÍNH TOÁN!$F90,"yyyy-mm-dd"),"")</f>
        <v/>
      </c>
      <c r="B28" s="23">
        <f>IF(TÍNH TOÁN!$N90="Đủ điều kiện",TÍNH TOÁN!$G90,"")</f>
        <v/>
      </c>
      <c r="C28" s="24">
        <f>IF(TÍNH TOÁN!$N90="Đủ điều kiện",TÍNH TOÁN!$E90,"")</f>
        <v/>
      </c>
      <c r="D28" s="24">
        <f>IF(TÍNH TOÁN!$N90="Đủ điều kiện",TÍNH TOÁN!$B90,"")</f>
        <v/>
      </c>
      <c r="E28" s="23">
        <f>IF(TÍNH TOÁN!$N90="Đủ điều kiện",TÍNH TOÁN!$C90,"")</f>
        <v/>
      </c>
      <c r="F28" s="23">
        <f>TÍNH TOÁN!$N90</f>
        <v/>
      </c>
    </row>
    <row r="29">
      <c r="A29" s="20">
        <f>IF(TÍNH TOÁN!$N91="Đủ điều kiện",TEXT(TÍNH TOÁN!$F91,"yyyy-mm-dd"),"")</f>
        <v/>
      </c>
      <c r="B29" s="20">
        <f>IF(TÍNH TOÁN!$N91="Đủ điều kiện",TÍNH TOÁN!$G91,"")</f>
        <v/>
      </c>
      <c r="C29" s="21">
        <f>IF(TÍNH TOÁN!$N91="Đủ điều kiện",TÍNH TOÁN!$E91,"")</f>
        <v/>
      </c>
      <c r="D29" s="21">
        <f>IF(TÍNH TOÁN!$N91="Đủ điều kiện",TÍNH TOÁN!$B91,"")</f>
        <v/>
      </c>
      <c r="E29" s="20">
        <f>IF(TÍNH TOÁN!$N91="Đủ điều kiện",TÍNH TOÁN!$C91,"")</f>
        <v/>
      </c>
      <c r="F29" s="20">
        <f>TÍNH TOÁN!$N91</f>
        <v/>
      </c>
    </row>
    <row r="30">
      <c r="A30" s="23">
        <f>IF(TÍNH TOÁN!$N92="Đủ điều kiện",TEXT(TÍNH TOÁN!$F92,"yyyy-mm-dd"),"")</f>
        <v/>
      </c>
      <c r="B30" s="23">
        <f>IF(TÍNH TOÁN!$N92="Đủ điều kiện",TÍNH TOÁN!$G92,"")</f>
        <v/>
      </c>
      <c r="C30" s="24">
        <f>IF(TÍNH TOÁN!$N92="Đủ điều kiện",TÍNH TOÁN!$E92,"")</f>
        <v/>
      </c>
      <c r="D30" s="24">
        <f>IF(TÍNH TOÁN!$N92="Đủ điều kiện",TÍNH TOÁN!$B92,"")</f>
        <v/>
      </c>
      <c r="E30" s="23">
        <f>IF(TÍNH TOÁN!$N92="Đủ điều kiện",TÍNH TOÁN!$C92,"")</f>
        <v/>
      </c>
      <c r="F30" s="23">
        <f>TÍNH TOÁN!$N92</f>
        <v/>
      </c>
    </row>
    <row r="31">
      <c r="A31" s="20">
        <f>IF(TÍNH TOÁN!$N93="Đủ điều kiện",TEXT(TÍNH TOÁN!$F93,"yyyy-mm-dd"),"")</f>
        <v/>
      </c>
      <c r="B31" s="20">
        <f>IF(TÍNH TOÁN!$N93="Đủ điều kiện",TÍNH TOÁN!$G93,"")</f>
        <v/>
      </c>
      <c r="C31" s="21">
        <f>IF(TÍNH TOÁN!$N93="Đủ điều kiện",TÍNH TOÁN!$E93,"")</f>
        <v/>
      </c>
      <c r="D31" s="21">
        <f>IF(TÍNH TOÁN!$N93="Đủ điều kiện",TÍNH TOÁN!$B93,"")</f>
        <v/>
      </c>
      <c r="E31" s="20">
        <f>IF(TÍNH TOÁN!$N93="Đủ điều kiện",TÍNH TOÁN!$C93,"")</f>
        <v/>
      </c>
      <c r="F31" s="20">
        <f>TÍNH TOÁN!$N93</f>
        <v/>
      </c>
    </row>
    <row r="32">
      <c r="A32" s="23">
        <f>IF(TÍNH TOÁN!$N94="Đủ điều kiện",TEXT(TÍNH TOÁN!$F94,"yyyy-mm-dd"),"")</f>
        <v/>
      </c>
      <c r="B32" s="23">
        <f>IF(TÍNH TOÁN!$N94="Đủ điều kiện",TÍNH TOÁN!$G94,"")</f>
        <v/>
      </c>
      <c r="C32" s="24">
        <f>IF(TÍNH TOÁN!$N94="Đủ điều kiện",TÍNH TOÁN!$E94,"")</f>
        <v/>
      </c>
      <c r="D32" s="24">
        <f>IF(TÍNH TOÁN!$N94="Đủ điều kiện",TÍNH TOÁN!$B94,"")</f>
        <v/>
      </c>
      <c r="E32" s="23">
        <f>IF(TÍNH TOÁN!$N94="Đủ điều kiện",TÍNH TOÁN!$C94,"")</f>
        <v/>
      </c>
      <c r="F32" s="23">
        <f>TÍNH TOÁN!$N94</f>
        <v/>
      </c>
    </row>
    <row r="33">
      <c r="A33" s="20">
        <f>IF(TÍNH TOÁN!$N95="Đủ điều kiện",TEXT(TÍNH TOÁN!$F95,"yyyy-mm-dd"),"")</f>
        <v/>
      </c>
      <c r="B33" s="20">
        <f>IF(TÍNH TOÁN!$N95="Đủ điều kiện",TÍNH TOÁN!$G95,"")</f>
        <v/>
      </c>
      <c r="C33" s="21">
        <f>IF(TÍNH TOÁN!$N95="Đủ điều kiện",TÍNH TOÁN!$E95,"")</f>
        <v/>
      </c>
      <c r="D33" s="21">
        <f>IF(TÍNH TOÁN!$N95="Đủ điều kiện",TÍNH TOÁN!$B95,"")</f>
        <v/>
      </c>
      <c r="E33" s="20">
        <f>IF(TÍNH TOÁN!$N95="Đủ điều kiện",TÍNH TOÁN!$C95,"")</f>
        <v/>
      </c>
      <c r="F33" s="20">
        <f>TÍNH TOÁN!$N95</f>
        <v/>
      </c>
    </row>
    <row r="34">
      <c r="A34" s="23">
        <f>IF(TÍNH TOÁN!$N96="Đủ điều kiện",TEXT(TÍNH TOÁN!$F96,"yyyy-mm-dd"),"")</f>
        <v/>
      </c>
      <c r="B34" s="23">
        <f>IF(TÍNH TOÁN!$N96="Đủ điều kiện",TÍNH TOÁN!$G96,"")</f>
        <v/>
      </c>
      <c r="C34" s="24">
        <f>IF(TÍNH TOÁN!$N96="Đủ điều kiện",TÍNH TOÁN!$E96,"")</f>
        <v/>
      </c>
      <c r="D34" s="24">
        <f>IF(TÍNH TOÁN!$N96="Đủ điều kiện",TÍNH TOÁN!$B96,"")</f>
        <v/>
      </c>
      <c r="E34" s="23">
        <f>IF(TÍNH TOÁN!$N96="Đủ điều kiện",TÍNH TOÁN!$C96,"")</f>
        <v/>
      </c>
      <c r="F34" s="23">
        <f>TÍNH TOÁN!$N96</f>
        <v/>
      </c>
    </row>
    <row r="35">
      <c r="A35" s="20">
        <f>IF(TÍNH TOÁN!$N97="Đủ điều kiện",TEXT(TÍNH TOÁN!$F97,"yyyy-mm-dd"),"")</f>
        <v/>
      </c>
      <c r="B35" s="20">
        <f>IF(TÍNH TOÁN!$N97="Đủ điều kiện",TÍNH TOÁN!$G97,"")</f>
        <v/>
      </c>
      <c r="C35" s="21">
        <f>IF(TÍNH TOÁN!$N97="Đủ điều kiện",TÍNH TOÁN!$E97,"")</f>
        <v/>
      </c>
      <c r="D35" s="21">
        <f>IF(TÍNH TOÁN!$N97="Đủ điều kiện",TÍNH TOÁN!$B97,"")</f>
        <v/>
      </c>
      <c r="E35" s="20">
        <f>IF(TÍNH TOÁN!$N97="Đủ điều kiện",TÍNH TOÁN!$C97,"")</f>
        <v/>
      </c>
      <c r="F35" s="20">
        <f>TÍNH TOÁN!$N97</f>
        <v/>
      </c>
    </row>
    <row r="36">
      <c r="A36" s="23">
        <f>IF(TÍNH TOÁN!$N98="Đủ điều kiện",TEXT(TÍNH TOÁN!$F98,"yyyy-mm-dd"),"")</f>
        <v/>
      </c>
      <c r="B36" s="23">
        <f>IF(TÍNH TOÁN!$N98="Đủ điều kiện",TÍNH TOÁN!$G98,"")</f>
        <v/>
      </c>
      <c r="C36" s="24">
        <f>IF(TÍNH TOÁN!$N98="Đủ điều kiện",TÍNH TOÁN!$E98,"")</f>
        <v/>
      </c>
      <c r="D36" s="24">
        <f>IF(TÍNH TOÁN!$N98="Đủ điều kiện",TÍNH TOÁN!$B98,"")</f>
        <v/>
      </c>
      <c r="E36" s="23">
        <f>IF(TÍNH TOÁN!$N98="Đủ điều kiện",TÍNH TOÁN!$C98,"")</f>
        <v/>
      </c>
      <c r="F36" s="23">
        <f>TÍNH TOÁN!$N98</f>
        <v/>
      </c>
    </row>
    <row r="37">
      <c r="A37" s="20">
        <f>IF(TÍNH TOÁN!$N99="Đủ điều kiện",TEXT(TÍNH TOÁN!$F99,"yyyy-mm-dd"),"")</f>
        <v/>
      </c>
      <c r="B37" s="20">
        <f>IF(TÍNH TOÁN!$N99="Đủ điều kiện",TÍNH TOÁN!$G99,"")</f>
        <v/>
      </c>
      <c r="C37" s="21">
        <f>IF(TÍNH TOÁN!$N99="Đủ điều kiện",TÍNH TOÁN!$E99,"")</f>
        <v/>
      </c>
      <c r="D37" s="21">
        <f>IF(TÍNH TOÁN!$N99="Đủ điều kiện",TÍNH TOÁN!$B99,"")</f>
        <v/>
      </c>
      <c r="E37" s="20">
        <f>IF(TÍNH TOÁN!$N99="Đủ điều kiện",TÍNH TOÁN!$C99,"")</f>
        <v/>
      </c>
      <c r="F37" s="20">
        <f>TÍNH TOÁN!$N99</f>
        <v/>
      </c>
    </row>
    <row r="38">
      <c r="A38" s="23">
        <f>IF(TÍNH TOÁN!$N100="Đủ điều kiện",TEXT(TÍNH TOÁN!$F100,"yyyy-mm-dd"),"")</f>
        <v/>
      </c>
      <c r="B38" s="23">
        <f>IF(TÍNH TOÁN!$N100="Đủ điều kiện",TÍNH TOÁN!$G100,"")</f>
        <v/>
      </c>
      <c r="C38" s="24">
        <f>IF(TÍNH TOÁN!$N100="Đủ điều kiện",TÍNH TOÁN!$E100,"")</f>
        <v/>
      </c>
      <c r="D38" s="24">
        <f>IF(TÍNH TOÁN!$N100="Đủ điều kiện",TÍNH TOÁN!$B100,"")</f>
        <v/>
      </c>
      <c r="E38" s="23">
        <f>IF(TÍNH TOÁN!$N100="Đủ điều kiện",TÍNH TOÁN!$C100,"")</f>
        <v/>
      </c>
      <c r="F38" s="23">
        <f>TÍNH TOÁN!$N100</f>
        <v/>
      </c>
    </row>
    <row r="40" ht="24" customHeight="1">
      <c r="A40" s="10" t="inlineStr">
        <is>
          <t>Tổng ca đủ điều kiện</t>
        </is>
      </c>
      <c r="B40" s="10">
        <f>COUNTIF(TÍNH TOÁN!$N$65:$N$100,"Đủ điều kiện")</f>
        <v/>
      </c>
      <c r="C40" s="12" t="inlineStr">
        <is>
          <t>Tổng ca bị loại</t>
        </is>
      </c>
      <c r="D40" s="12">
        <f>COUNTIF(TÍNH TOÁN!$N$65:$N$100,"Loại")</f>
        <v/>
      </c>
      <c r="F40" s="13" t="inlineStr">
        <is>
          <t>Ca/ngày tối đa</t>
        </is>
      </c>
      <c r="G40" s="13" t="n">
        <v>11</v>
      </c>
    </row>
  </sheetData>
  <autoFilter ref="A2:F2"/>
  <mergeCells count="1">
    <mergeCell ref="A1:F1"/>
  </mergeCells>
  <conditionalFormatting sqref="F3:F38">
    <cfRule type="cellIs" priority="1" operator="equal" dxfId="0">
      <formula>"Đủ điều kiện"</formula>
    </cfRule>
    <cfRule type="cellIs" priority="2" operator="equal" dxfId="1">
      <formula>"Loại"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2026-05-16T11:10:54Z</dcterms:created>
  <dcterms:modified xmlns:dcterms="http://purl.org/dc/terms/" xmlns:xsi="http://www.w3.org/2001/XMLSchema-instance" xsi:type="dcterms:W3CDTF">2026-05-16T11:10:54Z</dcterms:modified>
</cp:coreProperties>
</file>